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b0e5d3dc5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d528097972e34efc"/>
    <x:sheet xmlns:r="http://schemas.openxmlformats.org/officeDocument/2006/relationships" name="entities_导入" sheetId="2" r:id="R81ff34d7bb26446a"/>
    <x:sheet xmlns:r="http://schemas.openxmlformats.org/officeDocument/2006/relationships" name="研究说明" sheetId="3" r:id="Rfbb0f22105ae47f2"/>
    <x:sheet xmlns:r="http://schemas.openxmlformats.org/officeDocument/2006/relationships" name="字段说明" sheetId="4" r:id="R7abc2bc7f6b141f4"/>
    <x:sheet xmlns:r="http://schemas.openxmlformats.org/officeDocument/2006/relationships" name="新闻信源" sheetId="5" r:id="R19d438f923fd4578"/>
    <x:sheet xmlns:r="http://schemas.openxmlformats.org/officeDocument/2006/relationships" name="主题分布" sheetId="6" r:id="R045ef6fdf75546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1"/>
      <x:color rgb="FF22575A"/>
      <x:name val="Carlito"/>
    </x:font>
    <x:font>
      <x:b/>
      <x:sz val="10"/>
      <x:color rgb="FFFFFFFF"/>
      <x:name val="Carlito"/>
    </x:font>
    <x:font>
      <x:sz val="11"/>
      <x:color rgb="FF3B5165"/>
      <x:name val="Carlito"/>
    </x:font>
    <x:font>
      <x:b/>
      <x:sz val="11"/>
      <x:name val="Carlito"/>
    </x:font>
    <x:font>
      <x:b/>
      <x:sz val="13"/>
      <x:name val="Carlito"/>
    </x:font>
    <x:font>
      <x:b/>
      <x:sz val="11"/>
      <x:color rgb="FF45546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243B"/>
      </x:patternFill>
    </x:fill>
    <x:fill>
      <x:patternFill patternType="solid">
        <x:fgColor rgb="FFE8F2F1"/>
      </x:patternFill>
    </x:fill>
    <x:fill>
      <x:patternFill patternType="solid">
        <x:fgColor rgb="FF22575A"/>
      </x:patternFill>
    </x:fill>
    <x:fill>
      <x:patternFill patternType="solid">
        <x:fgColor rgb="FFEDF0F5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df41a3c7434d09" /><Relationship Type="http://schemas.openxmlformats.org/officeDocument/2006/relationships/theme" Target="/xl/theme/theme1.xml" Id="R66221c035e1846a8" /><Relationship Type="http://schemas.microsoft.com/office/2022/11/relationships/FeaturePropertyBag" Target="/xl/featurePropertyBag/featurePropertyBag.xml" Id="Rad2a2c8f671540c3" /><Relationship Type="http://schemas.openxmlformats.org/officeDocument/2006/relationships/sharedStrings" Target="/xl/sharedStrings.xml" Id="Rab706a7550294027" /><Relationship Type="http://schemas.openxmlformats.org/officeDocument/2006/relationships/worksheet" Target="/xl/worksheets/sheet1.xml" Id="Rd528097972e34efc" /><Relationship Type="http://schemas.openxmlformats.org/officeDocument/2006/relationships/worksheet" Target="/xl/worksheets/sheet2.xml" Id="R81ff34d7bb26446a" /><Relationship Type="http://schemas.openxmlformats.org/officeDocument/2006/relationships/worksheet" Target="/xl/worksheets/sheet3.xml" Id="Rfbb0f22105ae47f2" /><Relationship Type="http://schemas.openxmlformats.org/officeDocument/2006/relationships/worksheet" Target="/xl/worksheets/sheet4.xml" Id="R7abc2bc7f6b141f4" /><Relationship Type="http://schemas.openxmlformats.org/officeDocument/2006/relationships/worksheet" Target="/xl/worksheets/sheet5.xml" Id="R19d438f923fd4578" /><Relationship Type="http://schemas.openxmlformats.org/officeDocument/2006/relationships/worksheet" Target="/xl/worksheets/sheet6.xml" Id="R045ef6fdf75546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981e8364314c6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实体类型构成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'概览'!$A$12:$A$17</c:f>
              <c:strCache>
                <c:ptCount val="0"/>
              </c:strCache>
            </c:strRef>
          </c:cat>
          <c:val>
            <c:numRef>
              <c:f>'概览'!$B$12:$B$17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8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981e8364314c6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ntitiesSeedDB" displayName="EntitiesSeedDB" ref="A5:K257" headerRowCount="1" totalsRowCount="0" totalsRowShown="0">
  <x:tableColumns count="11">
    <x:tableColumn id="1" name="id"/>
    <x:tableColumn id="2" name="canonical_name"/>
    <x:tableColumn id="3" name="entity_type"/>
    <x:tableColumn id="4" name="aliases"/>
    <x:tableColumn id="5" name="embedding"/>
    <x:tableColumn id="6" name="embedding_model"/>
    <x:tableColumn id="7" name="mention_count"/>
    <x:tableColumn id="8" name="is_generic"/>
    <x:tableColumn id="9" name="first_seen_at"/>
    <x:tableColumn id="10" name="last_seen_at"/>
    <x:tableColumn id="11" name="created_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titiesResearch" displayName="EntitiesResearch" ref="A5:K257" headerRowCount="1" totalsRowCount="0" totalsRowShown="0">
  <x:tableColumns count="11">
    <x:tableColumn id="1" name="canonical_name"/>
    <x:tableColumn id="2" name="entity_type"/>
    <x:tableColumn id="3" name="新闻主题"/>
    <x:tableColumn id="4" name="传导机制"/>
    <x:tableColumn id="5" name="实体简介（≤200字）"/>
    <x:tableColumn id="6" name="别名列表（JSON）"/>
    <x:tableColumn id="7" name="泛化排除"/>
    <x:tableColumn id="8" name="新闻主题来源日期"/>
    <x:tableColumn id="9" name="主题来源URL"/>
    <x:tableColumn id="10" name="来源性质"/>
    <x:tableColumn id="11" name="名称规范化提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5:F16" headerRowCount="1" totalsRowCount="0" totalsRowShown="0">
  <x:tableColumns count="6">
    <x:tableColumn id="1" name="字段"/>
    <x:tableColumn id="2" name="数据库类型"/>
    <x:tableColumn id="3" name="约束"/>
    <x:tableColumn id="4" name="离线 CSV 表达"/>
    <x:tableColumn id="5" name="导入策略"/>
    <x:tableColumn id="6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NewsSources" displayName="NewsSources" ref="A5:D38" headerRowCount="1" totalsRowCount="0" totalsRowShown="0">
  <x:tableColumns count="4">
    <x:tableColumn id="1" name="来源ID"/>
    <x:tableColumn id="2" name="报道日期（按URL/检索）"/>
    <x:tableColumn id="3" name="新闻主题参考链接"/>
    <x:tableColumn id="4" name="覆盖主题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hemeDistribution" displayName="ThemeDistribution" ref="A5:E32" headerRowCount="1" totalsRowCount="0" totalsRowShown="0">
  <x:tableColumns count="5">
    <x:tableColumn id="1" name="新闻主题"/>
    <x:tableColumn id="2" name="传导机制"/>
    <x:tableColumn id="3" name="实体数量"/>
    <x:tableColumn id="4" name="新闻日期"/>
    <x:tableColumn id="5" name="新闻主题来源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569cdb55694c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da14a48acb44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333a754d2240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b52611f26140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8a67b5a0d34e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cd085064164eaa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4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41" customHeight="1">
      <x:c r="A1" s="4" t="str">
        <x:v>AlphaReader · 全球实体离线种子库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2025-10-13 至 2026-10-13 · 主题选样 · 252 条实体 · 生产数据库观测列留空</x:v>
      </x:c>
      <x:c r="B2" s="10"/>
      <x:c r="C2" s="10"/>
      <x:c r="D2" s="10"/>
      <x:c r="E2" s="10"/>
      <x:c r="F2" s="10"/>
      <x:c r="G2" s="10"/>
      <x:c r="H2" s="10"/>
    </x:row>
    <x:row r="3" ht="9" customHeight="1"/>
    <x:row r="5" ht="26" customHeight="1">
      <x:c r="A5" s="19" t="str">
        <x:v>核心指标</x:v>
      </x:c>
      <x:c r="B5" s="19" t="str">
        <x:v>数值</x:v>
      </x:c>
      <x:c r="D5" s="19" t="str">
        <x:v>数据质量与导入规则</x:v>
      </x:c>
      <x:c r="E5" s="19" t="str"/>
      <x:c r="F5" s="19" t="str"/>
      <x:c r="G5" s="19" t="str"/>
      <x:c r="H5" s="19" t="str"/>
    </x:row>
    <x:row r="6" ht="26" customHeight="1">
      <x:c r="A6" t="str">
        <x:v>实体总数</x:v>
      </x:c>
      <x:c r="B6" s="42" t="n">
        <x:f>COUNTA('entities_导入'!B6:B257)</x:f>
        <x:v>252</x:v>
      </x:c>
    </x:row>
    <x:row r="7" ht="26" customHeight="1">
      <x:c r="A7" t="str">
        <x:v>独立新闻主题</x:v>
      </x:c>
      <x:c r="B7" s="42" t="n">
        <x:f>COUNTA('主题分布'!A6:A32)</x:f>
        <x:v>27</x:v>
      </x:c>
      <x:c r="D7" s="38" t="str">
        <x:v>① entities_导入：数据库实际 11 个字段；CSV 与该表严格同列。</x:v>
      </x:c>
      <x:c r="E7" s="38"/>
      <x:c r="F7" s="38"/>
      <x:c r="G7" s="38"/>
      <x:c r="H7" s="38"/>
    </x:row>
    <x:row r="8" ht="26" customHeight="1">
      <x:c r="A8" t="str">
        <x:v>泛化排除实体</x:v>
      </x:c>
      <x:c r="B8" s="42" t="n">
        <x:f>COUNTIF('entities_导入'!B6:B257,"美国")+COUNTIF('entities_导入'!B6:B257,"中国")+COUNTIF('entities_导入'!B6:B257,"欧洲")+COUNTIF('entities_导入'!B6:B257,"日本")+COUNTIF('entities_导入'!B6:B257,"全球")+COUNTIF('entities_导入'!B6:B257,"市场")</x:f>
        <x:v>6</x:v>
      </x:c>
      <x:c r="D8" s="38" t="str">
        <x:v>② first_seen_at / last_seen_at：必须来自 AlphaReader 实际观测，本离线种子留空。</x:v>
      </x:c>
      <x:c r="E8" s="38"/>
      <x:c r="F8" s="38"/>
      <x:c r="G8" s="38"/>
      <x:c r="H8" s="38"/>
    </x:row>
    <x:row r="9" ht="26" customHeight="1">
      <x:c r="A9" t="str">
        <x:v>规范化别名键数</x:v>
      </x:c>
      <x:c r="B9" s="42" t="n">
        <x:v>840</x:v>
      </x:c>
      <x:c r="D9" s="38" t="str">
        <x:v>③ mention_count=0：导入不虚构历史提及；在线 writer 看到实体后自行累加。</x:v>
      </x:c>
      <x:c r="E9" s="38"/>
      <x:c r="F9" s="38"/>
      <x:c r="G9" s="38"/>
      <x:c r="H9" s="38"/>
    </x:row>
    <x:row r="10" ht="26" customHeight="1">
      <x:c r="D10" s="38" t="str">
        <x:v>④ embedding / embedding_model：留空，避免跨模型维度与向量漂移。</x:v>
      </x:c>
      <x:c r="E10" s="38"/>
      <x:c r="F10" s="38"/>
      <x:c r="G10" s="38"/>
      <x:c r="H10" s="38"/>
    </x:row>
    <x:row r="11" ht="26" customHeight="1">
      <x:c r="A11" s="19" t="str">
        <x:v>实体类别</x:v>
      </x:c>
      <x:c r="B11" s="19" t="str">
        <x:v>数量</x:v>
      </x:c>
      <x:c r="D11" s="38" t="str">
        <x:v>⑤ description 当前没有数据库列：研究说明中提供 200 字内卡片简介。</x:v>
      </x:c>
      <x:c r="E11" s="38"/>
      <x:c r="F11" s="38"/>
      <x:c r="G11" s="38"/>
      <x:c r="H11" s="38"/>
    </x:row>
    <x:row r="12" ht="26" customHeight="1">
      <x:c r="A12" t="str">
        <x:v>org</x:v>
      </x:c>
      <x:c r="B12" s="44" t="n">
        <x:f>COUNTIF('entities_导入'!C6:C257,A12)</x:f>
        <x:v>123</x:v>
      </x:c>
      <x:c r="D12" s="38" t="str">
        <x:v>⑥ 新闻来源链接代表主题依据，不保证每条实体在该文章中直接出现。</x:v>
      </x:c>
      <x:c r="E12" s="38"/>
      <x:c r="F12" s="38"/>
      <x:c r="G12" s="38"/>
      <x:c r="H12" s="38"/>
    </x:row>
    <x:row r="13" ht="26" customHeight="1">
      <x:c r="A13" t="str">
        <x:v>place</x:v>
      </x:c>
      <x:c r="B13" s="44" t="n">
        <x:f>COUNTIF('entities_导入'!C7:C258,A13)</x:f>
        <x:v>51</x:v>
      </x:c>
      <x:c r="D13" s="38" t="str">
        <x:v>⑦ 已依据 entity_writer._normalize() 预处理规范名；自然写法在 aliases 中。</x:v>
      </x:c>
      <x:c r="E13" s="38"/>
      <x:c r="F13" s="38"/>
      <x:c r="G13" s="38"/>
      <x:c r="H13" s="38"/>
    </x:row>
    <x:row r="14" ht="26" customHeight="1">
      <x:c r="A14" t="str">
        <x:v>asset</x:v>
      </x:c>
      <x:c r="B14" s="44" t="n">
        <x:f>COUNTIF('entities_导入'!C8:C259,A14)</x:f>
        <x:v>26</x:v>
      </x:c>
      <x:c r="D14" s="38" t="str">
        <x:v>⑧ 数据库 aliases 不会被现有 ALIAS_MAP 自动读取：需要配套别名映射补丁。</x:v>
      </x:c>
      <x:c r="E14" s="38"/>
      <x:c r="F14" s="38"/>
      <x:c r="G14" s="38"/>
      <x:c r="H14" s="38"/>
    </x:row>
    <x:row r="15" ht="26" customHeight="1">
      <x:c r="A15" t="str">
        <x:v>commodity</x:v>
      </x:c>
      <x:c r="B15" s="44" t="n">
        <x:f>COUNTIF('entities_导入'!C9:C260,A15)</x:f>
        <x:v>24</x:v>
      </x:c>
      <x:c r="D15" s="38" t="str">
        <x:v>⑨ 导入前备份并 dry-run；导入器按 canonical_name UPSERT，保护现网观测字段。</x:v>
      </x:c>
      <x:c r="E15" s="38"/>
      <x:c r="F15" s="38"/>
      <x:c r="G15" s="38"/>
      <x:c r="H15" s="38"/>
    </x:row>
    <x:row r="16" ht="26" customHeight="1">
      <x:c r="A16" t="str">
        <x:v>concept</x:v>
      </x:c>
      <x:c r="B16" s="44" t="n">
        <x:f>COUNTIF('entities_导入'!C10:C261,A16)</x:f>
        <x:v>17</x:v>
      </x:c>
      <x:c r="D16" s="38" t="str">
        <x:v>⑩ 仅预置 entities；event_entities 依赖真实 events.id，禁止虚构外键。</x:v>
      </x:c>
      <x:c r="E16" s="38"/>
      <x:c r="F16" s="38"/>
      <x:c r="G16" s="38"/>
      <x:c r="H16" s="38"/>
    </x:row>
    <x:row r="17" ht="26" customHeight="1">
      <x:c r="A17" t="str">
        <x:v>person</x:v>
      </x:c>
      <x:c r="B17" s="44" t="n">
        <x:f>COUNTIF('entities_导入'!C11:C262,A17)</x:f>
        <x:v>11</x:v>
      </x:c>
    </x:row>
    <x:row r="20" ht="7" customHeight="1"/>
    <x:row r="22" ht="31" customHeight="1">
      <x:c r="A22" s="47" t="str">
        <x:v>资料完整性边界：这是长生命周期实体词表，不携带事件归属及已验证因果链。</x:v>
      </x:c>
      <x:c r="B22" s="47"/>
      <x:c r="C22" s="47"/>
      <x:c r="D22" s="47"/>
      <x:c r="E22" s="47"/>
      <x:c r="F22" s="47"/>
      <x:c r="G22" s="47"/>
      <x:c r="H22" s="47"/>
    </x:row>
  </x:sheetData>
  <x:mergeCells>
    <x:mergeCell ref="A1:H1"/>
    <x:mergeCell ref="A2:H2"/>
    <x:mergeCell ref="D5:H5"/>
    <x:mergeCell ref="D7:H7"/>
    <x:mergeCell ref="D8:H8"/>
    <x:mergeCell ref="D9:H9"/>
    <x:mergeCell ref="D10:H10"/>
    <x:mergeCell ref="D11:H11"/>
    <x:mergeCell ref="D12:H12"/>
    <x:mergeCell ref="D13:H13"/>
    <x:mergeCell ref="D14:H14"/>
    <x:mergeCell ref="D15:H15"/>
    <x:mergeCell ref="D16:H16"/>
    <x:mergeCell ref="A22:H22"/>
  </x:mergeCells>
  <x:pageMargins left="0.7" right="0.7" top="0.75" bottom="0.75" header="0.3" footer="0.3"/>
  <x:drawing xmlns:r="http://schemas.openxmlformats.org/officeDocument/2006/relationships" r:id="R3f569cdb55694ceb"/>
</x:worksheet>
</file>

<file path=xl/worksheets/sheet2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36" hidden="0" customWidth="1"/>
    <x:col min="2" max="2" width="27" hidden="0" customWidth="1"/>
    <x:col min="3" max="3" width="15" hidden="0" customWidth="1"/>
    <x:col min="4" max="4" width="64" hidden="0" customWidth="1"/>
    <x:col min="5" max="5" width="18" hidden="0" customWidth="1"/>
    <x:col min="6" max="6" width="19" hidden="0" customWidth="1"/>
    <x:col min="7" max="7" width="16" hidden="0" customWidth="1"/>
    <x:col min="8" max="8" width="15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41" customHeight="1">
      <x:c r="A1" s="4" t="str">
        <x:v>AlphaReader · Entities 数据库种子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0" customHeight="1">
      <x:c r="A2" s="10" t="str">
        <x:v>数据库 11 列严格对齐 | PostgreSQL ARRAY 字面量 | 首次/末次观测时间、向量保持 NULL | 2025-10-13 — 2026-10-13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9" customHeight="1"/>
    <x:row r="5" ht="31" customHeight="1">
      <x:c r="A5" s="19" t="str">
        <x:v>id</x:v>
      </x:c>
      <x:c r="B5" s="19" t="str">
        <x:v>canonical_name</x:v>
      </x:c>
      <x:c r="C5" s="19" t="str">
        <x:v>entity_type</x:v>
      </x:c>
      <x:c r="D5" s="19" t="str">
        <x:v>aliases</x:v>
      </x:c>
      <x:c r="E5" s="19" t="str">
        <x:v>embedding</x:v>
      </x:c>
      <x:c r="F5" s="19" t="str">
        <x:v>embedding_model</x:v>
      </x:c>
      <x:c r="G5" s="19" t="str">
        <x:v>mention_count</x:v>
      </x:c>
      <x:c r="H5" s="19" t="str">
        <x:v>is_generic</x:v>
      </x:c>
      <x:c r="I5" s="19" t="str">
        <x:v>first_seen_at</x:v>
      </x:c>
      <x:c r="J5" s="19" t="str">
        <x:v>last_seen_at</x:v>
      </x:c>
      <x:c r="K5" s="19" t="str">
        <x:v>created_at</x:v>
      </x:c>
    </x:row>
    <x:row r="6" ht="25" customHeight="1">
      <x:c r="A6" s="24" t="str">
        <x:v>d1c668be-d0d6-5753-84f7-d145045e80ab</x:v>
      </x:c>
      <x:c r="B6" s="24" t="str">
        <x:v>胡塞武装</x:v>
      </x:c>
      <x:c r="C6" s="24" t="str">
        <x:v>org</x:v>
      </x:c>
      <x:c r="D6" s="28" t="str">
        <x:v>{"胡塞武装","Houthi","Houthis","安拉拥护者","也门胡塞"}</x:v>
      </x:c>
      <x:c r="E6" s="24"/>
      <x:c r="F6" s="24"/>
      <x:c r="G6" s="30" t="n">
        <x:v>0</x:v>
      </x:c>
      <x:c r="H6" s="32" t="b">
        <x:v>0</x:v>
      </x:c>
      <x:c r="I6" s="24"/>
      <x:c r="J6" s="24"/>
      <x:c r="K6" s="24"/>
    </x:row>
    <x:row r="7" ht="25" customHeight="1">
      <x:c r="A7" s="24" t="str">
        <x:v>0c8f1742-b938-51ab-a201-d619c4bd0f53</x:v>
      </x:c>
      <x:c r="B7" s="24" t="str">
        <x:v>也门政府军</x:v>
      </x:c>
      <x:c r="C7" s="24" t="str">
        <x:v>org</x:v>
      </x:c>
      <x:c r="D7" s="28" t="str">
        <x:v>{"也门政府军","Yemeni government forces","也门亲政府部队"}</x:v>
      </x:c>
      <x:c r="E7" s="24"/>
      <x:c r="F7" s="24"/>
      <x:c r="G7" s="30" t="n">
        <x:v>0</x:v>
      </x:c>
      <x:c r="H7" s="32" t="b">
        <x:v>0</x:v>
      </x:c>
      <x:c r="I7" s="24"/>
      <x:c r="J7" s="24"/>
      <x:c r="K7" s="24"/>
    </x:row>
    <x:row r="8" ht="25" customHeight="1">
      <x:c r="A8" s="24" t="str">
        <x:v>635e4fb6-c329-53da-acdd-7f6070eb9622</x:v>
      </x:c>
      <x:c r="B8" s="24" t="str">
        <x:v>沙特武装部队</x:v>
      </x:c>
      <x:c r="C8" s="24" t="str">
        <x:v>org</x:v>
      </x:c>
      <x:c r="D8" s="28" t="str">
        <x:v>{"沙特武装部队","Saudi Armed Forces","沙特军队"}</x:v>
      </x:c>
      <x:c r="E8" s="24"/>
      <x:c r="F8" s="24"/>
      <x:c r="G8" s="30" t="n">
        <x:v>0</x:v>
      </x:c>
      <x:c r="H8" s="32" t="b">
        <x:v>0</x:v>
      </x:c>
      <x:c r="I8" s="24"/>
      <x:c r="J8" s="24"/>
      <x:c r="K8" s="24"/>
    </x:row>
    <x:row r="9" ht="25" customHeight="1">
      <x:c r="A9" s="24" t="str">
        <x:v>15bdc1fb-14d9-54ac-b422-42501f7cb742</x:v>
      </x:c>
      <x:c r="B9" s="24" t="str">
        <x:v>伊朗伊斯兰革命卫队</x:v>
      </x:c>
      <x:c r="C9" s="24" t="str">
        <x:v>org</x:v>
      </x:c>
      <x:c r="D9" s="28" t="str">
        <x:v>{"伊朗伊斯兰革命卫队","IRGC","Islamic Revolutionary Guard Corps","革命卫队"}</x:v>
      </x:c>
      <x:c r="E9" s="24"/>
      <x:c r="F9" s="24"/>
      <x:c r="G9" s="30" t="n">
        <x:v>0</x:v>
      </x:c>
      <x:c r="H9" s="32" t="b">
        <x:v>0</x:v>
      </x:c>
      <x:c r="I9" s="24"/>
      <x:c r="J9" s="24"/>
      <x:c r="K9" s="24"/>
    </x:row>
    <x:row r="10" ht="25" customHeight="1">
      <x:c r="A10" s="24" t="str">
        <x:v>1fc20ba0-31b6-5b60-adb5-36db56e627b3</x:v>
      </x:c>
      <x:c r="B10" s="24" t="str">
        <x:v>沙特阿拉伯</x:v>
      </x:c>
      <x:c r="C10" s="24" t="str">
        <x:v>place</x:v>
      </x:c>
      <x:c r="D10" s="28" t="str">
        <x:v>{"沙特阿拉伯","Saudi Arabia","沙特"}</x:v>
      </x:c>
      <x:c r="E10" s="24"/>
      <x:c r="F10" s="24"/>
      <x:c r="G10" s="30" t="n">
        <x:v>0</x:v>
      </x:c>
      <x:c r="H10" s="32" t="b">
        <x:v>0</x:v>
      </x:c>
      <x:c r="I10" s="24"/>
      <x:c r="J10" s="24"/>
      <x:c r="K10" s="24"/>
    </x:row>
    <x:row r="11" ht="25" customHeight="1">
      <x:c r="A11" s="24" t="str">
        <x:v>96cdffab-9488-588d-b698-a89dd0ff6747</x:v>
      </x:c>
      <x:c r="B11" s="24" t="str">
        <x:v>也门</x:v>
      </x:c>
      <x:c r="C11" s="24" t="str">
        <x:v>place</x:v>
      </x:c>
      <x:c r="D11" s="28" t="str">
        <x:v>{"也门","Yemen","也门共和国"}</x:v>
      </x:c>
      <x:c r="E11" s="24"/>
      <x:c r="F11" s="24"/>
      <x:c r="G11" s="30" t="n">
        <x:v>0</x:v>
      </x:c>
      <x:c r="H11" s="32" t="b">
        <x:v>0</x:v>
      </x:c>
      <x:c r="I11" s="24"/>
      <x:c r="J11" s="24"/>
      <x:c r="K11" s="24"/>
    </x:row>
    <x:row r="12" ht="25" customHeight="1">
      <x:c r="A12" s="24" t="str">
        <x:v>2c86f3a4-df1a-5861-87e4-2d847d4481af</x:v>
      </x:c>
      <x:c r="B12" s="24" t="str">
        <x:v>曼德海峡</x:v>
      </x:c>
      <x:c r="C12" s="24" t="str">
        <x:v>place</x:v>
      </x:c>
      <x:c r="D12" s="28" t="str">
        <x:v>{"曼德海峡","Bab el-Mandeb","Bab al-Mandab","曼德海峽","曼德海峡水道"}</x:v>
      </x:c>
      <x:c r="E12" s="24"/>
      <x:c r="F12" s="24"/>
      <x:c r="G12" s="30" t="n">
        <x:v>0</x:v>
      </x:c>
      <x:c r="H12" s="32" t="b">
        <x:v>0</x:v>
      </x:c>
      <x:c r="I12" s="24"/>
      <x:c r="J12" s="24"/>
      <x:c r="K12" s="24"/>
    </x:row>
    <x:row r="13" ht="25" customHeight="1">
      <x:c r="A13" s="24" t="str">
        <x:v>572a4656-efe4-5c21-b49f-6a60aeea681c</x:v>
      </x:c>
      <x:c r="B13" s="24" t="str">
        <x:v>穆哈港</x:v>
      </x:c>
      <x:c r="C13" s="24" t="str">
        <x:v>place</x:v>
      </x:c>
      <x:c r="D13" s="28" t="str">
        <x:v>{"穆哈港","Mocha","Mokha","摩卡港"}</x:v>
      </x:c>
      <x:c r="E13" s="24"/>
      <x:c r="F13" s="24"/>
      <x:c r="G13" s="30" t="n">
        <x:v>0</x:v>
      </x:c>
      <x:c r="H13" s="32" t="b">
        <x:v>0</x:v>
      </x:c>
      <x:c r="I13" s="24"/>
      <x:c r="J13" s="24"/>
      <x:c r="K13" s="24"/>
    </x:row>
    <x:row r="14" ht="25" customHeight="1">
      <x:c r="A14" s="24" t="str">
        <x:v>e1e265e3-537e-597f-b5a1-df6aaffb444e</x:v>
      </x:c>
      <x:c r="B14" s="24" t="str">
        <x:v>丕林岛</x:v>
      </x:c>
      <x:c r="C14" s="24" t="str">
        <x:v>place</x:v>
      </x:c>
      <x:c r="D14" s="28" t="str">
        <x:v>{"丕林岛","Perim Island","Mayyun Island","迈云岛"}</x:v>
      </x:c>
      <x:c r="E14" s="24"/>
      <x:c r="F14" s="24"/>
      <x:c r="G14" s="30" t="n">
        <x:v>0</x:v>
      </x:c>
      <x:c r="H14" s="32" t="b">
        <x:v>0</x:v>
      </x:c>
      <x:c r="I14" s="24"/>
      <x:c r="J14" s="24"/>
      <x:c r="K14" s="24"/>
    </x:row>
    <x:row r="15" ht="25" customHeight="1">
      <x:c r="A15" s="24" t="str">
        <x:v>58dc7188-8cfa-5c13-9c11-275aa3c373e2</x:v>
      </x:c>
      <x:c r="B15" s="24" t="str">
        <x:v>荷台达港</x:v>
      </x:c>
      <x:c r="C15" s="24" t="str">
        <x:v>place</x:v>
      </x:c>
      <x:c r="D15" s="28" t="str">
        <x:v>{"荷台达港","Hodeidah","Hudaydah","荷台达"}</x:v>
      </x:c>
      <x:c r="E15" s="24"/>
      <x:c r="F15" s="24"/>
      <x:c r="G15" s="30" t="n">
        <x:v>0</x:v>
      </x:c>
      <x:c r="H15" s="32" t="b">
        <x:v>0</x:v>
      </x:c>
      <x:c r="I15" s="24"/>
      <x:c r="J15" s="24"/>
      <x:c r="K15" s="24"/>
    </x:row>
    <x:row r="16" ht="25" customHeight="1">
      <x:c r="A16" s="24" t="str">
        <x:v>313fdef8-d760-59d5-a969-5c3c67e35b20</x:v>
      </x:c>
      <x:c r="B16" s="24" t="str">
        <x:v>亚丁湾</x:v>
      </x:c>
      <x:c r="C16" s="24" t="str">
        <x:v>place</x:v>
      </x:c>
      <x:c r="D16" s="28" t="str">
        <x:v>{"亚丁湾","Gulf of Aden"}</x:v>
      </x:c>
      <x:c r="E16" s="24"/>
      <x:c r="F16" s="24"/>
      <x:c r="G16" s="30" t="n">
        <x:v>0</x:v>
      </x:c>
      <x:c r="H16" s="32" t="b">
        <x:v>0</x:v>
      </x:c>
      <x:c r="I16" s="24"/>
      <x:c r="J16" s="24"/>
      <x:c r="K16" s="24"/>
    </x:row>
    <x:row r="17" ht="25" customHeight="1">
      <x:c r="A17" s="24" t="str">
        <x:v>330daad3-e30e-561e-b31b-3e0fd853a357</x:v>
      </x:c>
      <x:c r="B17" s="24" t="str">
        <x:v>红海</x:v>
      </x:c>
      <x:c r="C17" s="24" t="str">
        <x:v>place</x:v>
      </x:c>
      <x:c r="D17" s="28" t="str">
        <x:v>{"红海","Red Sea"}</x:v>
      </x:c>
      <x:c r="E17" s="24"/>
      <x:c r="F17" s="24"/>
      <x:c r="G17" s="30" t="n">
        <x:v>0</x:v>
      </x:c>
      <x:c r="H17" s="32" t="b">
        <x:v>0</x:v>
      </x:c>
      <x:c r="I17" s="24"/>
      <x:c r="J17" s="24"/>
      <x:c r="K17" s="24"/>
    </x:row>
    <x:row r="18" ht="25" customHeight="1">
      <x:c r="A18" s="24" t="str">
        <x:v>f4baf243-7adc-57f7-b3a5-e0180defc36d</x:v>
      </x:c>
      <x:c r="B18" s="24" t="str">
        <x:v>苏伊士运河</x:v>
      </x:c>
      <x:c r="C18" s="24" t="str">
        <x:v>place</x:v>
      </x:c>
      <x:c r="D18" s="28" t="str">
        <x:v>{"苏伊士运河","Suez Canal","苏伊士航道"}</x:v>
      </x:c>
      <x:c r="E18" s="24"/>
      <x:c r="F18" s="24"/>
      <x:c r="G18" s="30" t="n">
        <x:v>0</x:v>
      </x:c>
      <x:c r="H18" s="32" t="b">
        <x:v>0</x:v>
      </x:c>
      <x:c r="I18" s="24"/>
      <x:c r="J18" s="24"/>
      <x:c r="K18" s="24"/>
    </x:row>
    <x:row r="19" ht="25" customHeight="1">
      <x:c r="A19" s="24" t="str">
        <x:v>18d546a5-ec27-5983-8847-62aa07ad8e9a</x:v>
      </x:c>
      <x:c r="B19" s="24" t="str">
        <x:v>好望角航线</x:v>
      </x:c>
      <x:c r="C19" s="24" t="str">
        <x:v>place</x:v>
      </x:c>
      <x:c r="D19" s="28" t="str">
        <x:v>{"好望角航线","Cape of Good Hope route","好望角绕行"}</x:v>
      </x:c>
      <x:c r="E19" s="24"/>
      <x:c r="F19" s="24"/>
      <x:c r="G19" s="30" t="n">
        <x:v>0</x:v>
      </x:c>
      <x:c r="H19" s="32" t="b">
        <x:v>0</x:v>
      </x:c>
      <x:c r="I19" s="24"/>
      <x:c r="J19" s="24"/>
      <x:c r="K19" s="24"/>
    </x:row>
    <x:row r="20" ht="25" customHeight="1">
      <x:c r="A20" s="24" t="str">
        <x:v>2bcdeefe-0423-521b-a690-696f9380b161</x:v>
      </x:c>
      <x:c r="B20" s="24" t="str">
        <x:v>马士基</x:v>
      </x:c>
      <x:c r="C20" s="24" t="str">
        <x:v>org</x:v>
      </x:c>
      <x:c r="D20" s="28" t="str">
        <x:v>{"马士基","Maersk","A.P. Moller-Maersk","穆勒马士基"}</x:v>
      </x:c>
      <x:c r="E20" s="24"/>
      <x:c r="F20" s="24"/>
      <x:c r="G20" s="30" t="n">
        <x:v>0</x:v>
      </x:c>
      <x:c r="H20" s="32" t="b">
        <x:v>0</x:v>
      </x:c>
      <x:c r="I20" s="24"/>
      <x:c r="J20" s="24"/>
      <x:c r="K20" s="24"/>
    </x:row>
    <x:row r="21" ht="25" customHeight="1">
      <x:c r="A21" s="24" t="str">
        <x:v>cc38f7fb-77b7-532e-ad79-32392984c925</x:v>
      </x:c>
      <x:c r="B21" s="24" t="str">
        <x:v>赫伯罗特</x:v>
      </x:c>
      <x:c r="C21" s="24" t="str">
        <x:v>org</x:v>
      </x:c>
      <x:c r="D21" s="28" t="str">
        <x:v>{"赫伯罗特","Hapag-Lloyd","赫伯罗特航运"}</x:v>
      </x:c>
      <x:c r="E21" s="24"/>
      <x:c r="F21" s="24"/>
      <x:c r="G21" s="30" t="n">
        <x:v>0</x:v>
      </x:c>
      <x:c r="H21" s="32" t="b">
        <x:v>0</x:v>
      </x:c>
      <x:c r="I21" s="24"/>
      <x:c r="J21" s="24"/>
      <x:c r="K21" s="24"/>
    </x:row>
    <x:row r="22" ht="25" customHeight="1">
      <x:c r="A22" s="24" t="str">
        <x:v>2e2c3c51-9774-57aa-9695-9964b8d25af0</x:v>
      </x:c>
      <x:c r="B22" s="24" t="str">
        <x:v>地中海航运</x:v>
      </x:c>
      <x:c r="C22" s="24" t="str">
        <x:v>org</x:v>
      </x:c>
      <x:c r="D22" s="28" t="str">
        <x:v>{"地中海航运","MSC","Mediterranean Shipping Company"}</x:v>
      </x:c>
      <x:c r="E22" s="24"/>
      <x:c r="F22" s="24"/>
      <x:c r="G22" s="30" t="n">
        <x:v>0</x:v>
      </x:c>
      <x:c r="H22" s="32" t="b">
        <x:v>0</x:v>
      </x:c>
      <x:c r="I22" s="24"/>
      <x:c r="J22" s="24"/>
      <x:c r="K22" s="24"/>
    </x:row>
    <x:row r="23" ht="25" customHeight="1">
      <x:c r="A23" s="24" t="str">
        <x:v>fca69fe6-2dab-5be8-8737-5d5ef8efd8a8</x:v>
      </x:c>
      <x:c r="B23" s="24" t="str">
        <x:v>达飞海运</x:v>
      </x:c>
      <x:c r="C23" s="24" t="str">
        <x:v>org</x:v>
      </x:c>
      <x:c r="D23" s="28" t="str">
        <x:v>{"达飞海运","CMA CGM","法国达飞"}</x:v>
      </x:c>
      <x:c r="E23" s="24"/>
      <x:c r="F23" s="24"/>
      <x:c r="G23" s="30" t="n">
        <x:v>0</x:v>
      </x:c>
      <x:c r="H23" s="32" t="b">
        <x:v>0</x:v>
      </x:c>
      <x:c r="I23" s="24"/>
      <x:c r="J23" s="24"/>
      <x:c r="K23" s="24"/>
    </x:row>
    <x:row r="24" ht="25" customHeight="1">
      <x:c r="A24" s="24" t="str">
        <x:v>93e9c21f-cf56-5f2b-9b78-f45e242dbcfb</x:v>
      </x:c>
      <x:c r="B24" s="24" t="str">
        <x:v>波罗的海交易所</x:v>
      </x:c>
      <x:c r="C24" s="24" t="str">
        <x:v>org</x:v>
      </x:c>
      <x:c r="D24" s="28" t="str">
        <x:v>{"波罗的海交易所","Baltic Exchange"}</x:v>
      </x:c>
      <x:c r="E24" s="24"/>
      <x:c r="F24" s="24"/>
      <x:c r="G24" s="30" t="n">
        <x:v>0</x:v>
      </x:c>
      <x:c r="H24" s="32" t="b">
        <x:v>0</x:v>
      </x:c>
      <x:c r="I24" s="24"/>
      <x:c r="J24" s="24"/>
      <x:c r="K24" s="24"/>
    </x:row>
    <x:row r="25" ht="25" customHeight="1">
      <x:c r="A25" s="24" t="str">
        <x:v>97d16ff0-955e-5403-9322-5819e28c84b5</x:v>
      </x:c>
      <x:c r="B25" s="24" t="str">
        <x:v>上海航运交易所</x:v>
      </x:c>
      <x:c r="C25" s="24" t="str">
        <x:v>org</x:v>
      </x:c>
      <x:c r="D25" s="28" t="str">
        <x:v>{"上海航运交易所","Shanghai Shipping Exchange","SSE航交所"}</x:v>
      </x:c>
      <x:c r="E25" s="24"/>
      <x:c r="F25" s="24"/>
      <x:c r="G25" s="30" t="n">
        <x:v>0</x:v>
      </x:c>
      <x:c r="H25" s="32" t="b">
        <x:v>0</x:v>
      </x:c>
      <x:c r="I25" s="24"/>
      <x:c r="J25" s="24"/>
      <x:c r="K25" s="24"/>
    </x:row>
    <x:row r="26" ht="25" customHeight="1">
      <x:c r="A26" s="24" t="str">
        <x:v>d847d5cc-1f61-5aa3-b51c-ad338369e704</x:v>
      </x:c>
      <x:c r="B26" s="24" t="str">
        <x:v>SCFI上海出口集装箱运价指数</x:v>
      </x:c>
      <x:c r="C26" s="24" t="str">
        <x:v>asset</x:v>
      </x:c>
      <x:c r="D26" s="28" t="str">
        <x:v>{"SCFI上海出口集装箱运价指数","SCFI","Shanghai Containerized Freight Index"}</x:v>
      </x:c>
      <x:c r="E26" s="24"/>
      <x:c r="F26" s="24"/>
      <x:c r="G26" s="30" t="n">
        <x:v>0</x:v>
      </x:c>
      <x:c r="H26" s="32" t="b">
        <x:v>0</x:v>
      </x:c>
      <x:c r="I26" s="24"/>
      <x:c r="J26" s="24"/>
      <x:c r="K26" s="24"/>
    </x:row>
    <x:row r="27" ht="25" customHeight="1">
      <x:c r="A27" s="24" t="str">
        <x:v>f5b15458-17b2-5838-a0f7-3f8d99008cb5</x:v>
      </x:c>
      <x:c r="B27" s="24" t="str">
        <x:v>FBX全球集装箱运价指数</x:v>
      </x:c>
      <x:c r="C27" s="24" t="str">
        <x:v>asset</x:v>
      </x:c>
      <x:c r="D27" s="28" t="str">
        <x:v>{"FBX全球集装箱运价指数","Freightos Baltic Index","FBX"}</x:v>
      </x:c>
      <x:c r="E27" s="24"/>
      <x:c r="F27" s="24"/>
      <x:c r="G27" s="30" t="n">
        <x:v>0</x:v>
      </x:c>
      <x:c r="H27" s="32" t="b">
        <x:v>0</x:v>
      </x:c>
      <x:c r="I27" s="24"/>
      <x:c r="J27" s="24"/>
      <x:c r="K27" s="24"/>
    </x:row>
    <x:row r="28" ht="25" customHeight="1">
      <x:c r="A28" s="24" t="str">
        <x:v>d2cb8dc0-e2eb-5c56-a123-bbe426286bca</x:v>
      </x:c>
      <x:c r="B28" s="24" t="str">
        <x:v>战争险保费</x:v>
      </x:c>
      <x:c r="C28" s="24" t="str">
        <x:v>concept</x:v>
      </x:c>
      <x:c r="D28" s="28" t="str">
        <x:v>{"战争险保费","War Risk Premium","War Risk Insurance Premium"}</x:v>
      </x:c>
      <x:c r="E28" s="24"/>
      <x:c r="F28" s="24"/>
      <x:c r="G28" s="30" t="n">
        <x:v>0</x:v>
      </x:c>
      <x:c r="H28" s="32" t="b">
        <x:v>0</x:v>
      </x:c>
      <x:c r="I28" s="24"/>
      <x:c r="J28" s="24"/>
      <x:c r="K28" s="24"/>
    </x:row>
    <x:row r="29" ht="25" customHeight="1">
      <x:c r="A29" s="24" t="str">
        <x:v>8cc9378c-1727-5850-a0d9-3b509ff94c6a</x:v>
      </x:c>
      <x:c r="B29" s="24" t="str">
        <x:v>VLCC超大型油轮</x:v>
      </x:c>
      <x:c r="C29" s="24" t="str">
        <x:v>asset</x:v>
      </x:c>
      <x:c r="D29" s="28" t="str">
        <x:v>{"VLCC超大型油轮","VLCC","Very Large Crude Carrier"}</x:v>
      </x:c>
      <x:c r="E29" s="24"/>
      <x:c r="F29" s="24"/>
      <x:c r="G29" s="30" t="n">
        <x:v>0</x:v>
      </x:c>
      <x:c r="H29" s="32" t="b">
        <x:v>0</x:v>
      </x:c>
      <x:c r="I29" s="24"/>
      <x:c r="J29" s="24"/>
      <x:c r="K29" s="24"/>
    </x:row>
    <x:row r="30" ht="25" customHeight="1">
      <x:c r="A30" s="24" t="str">
        <x:v>3106e291-38fe-57c1-ab89-534c5a29139e</x:v>
      </x:c>
      <x:c r="B30" s="24" t="str">
        <x:v>霍尔木兹海峡</x:v>
      </x:c>
      <x:c r="C30" s="24" t="str">
        <x:v>place</x:v>
      </x:c>
      <x:c r="D30" s="28" t="str">
        <x:v>{"霍尔木兹海峡","Strait of Hormuz","Hormuz","霍尔木兹"}</x:v>
      </x:c>
      <x:c r="E30" s="24"/>
      <x:c r="F30" s="24"/>
      <x:c r="G30" s="30" t="n">
        <x:v>0</x:v>
      </x:c>
      <x:c r="H30" s="32" t="b">
        <x:v>0</x:v>
      </x:c>
      <x:c r="I30" s="24"/>
      <x:c r="J30" s="24"/>
      <x:c r="K30" s="24"/>
    </x:row>
    <x:row r="31" ht="25" customHeight="1">
      <x:c r="A31" s="24" t="str">
        <x:v>4bdd2261-4c2c-594a-8129-07bed77d4602</x:v>
      </x:c>
      <x:c r="B31" s="24" t="str">
        <x:v>波斯湾</x:v>
      </x:c>
      <x:c r="C31" s="24" t="str">
        <x:v>place</x:v>
      </x:c>
      <x:c r="D31" s="28" t="str">
        <x:v>{"波斯湾","Persian Gulf","阿拉伯湾"}</x:v>
      </x:c>
      <x:c r="E31" s="24"/>
      <x:c r="F31" s="24"/>
      <x:c r="G31" s="30" t="n">
        <x:v>0</x:v>
      </x:c>
      <x:c r="H31" s="32" t="b">
        <x:v>0</x:v>
      </x:c>
      <x:c r="I31" s="24"/>
      <x:c r="J31" s="24"/>
      <x:c r="K31" s="24"/>
    </x:row>
    <x:row r="32" ht="25" customHeight="1">
      <x:c r="A32" s="24" t="str">
        <x:v>ad49ab55-233c-598a-bd21-b9adc30ec15e</x:v>
      </x:c>
      <x:c r="B32" s="24" t="str">
        <x:v>阿曼湾</x:v>
      </x:c>
      <x:c r="C32" s="24" t="str">
        <x:v>place</x:v>
      </x:c>
      <x:c r="D32" s="28" t="str">
        <x:v>{"阿曼湾","Gulf of Oman"}</x:v>
      </x:c>
      <x:c r="E32" s="24"/>
      <x:c r="F32" s="24"/>
      <x:c r="G32" s="30" t="n">
        <x:v>0</x:v>
      </x:c>
      <x:c r="H32" s="32" t="b">
        <x:v>0</x:v>
      </x:c>
      <x:c r="I32" s="24"/>
      <x:c r="J32" s="24"/>
      <x:c r="K32" s="24"/>
    </x:row>
    <x:row r="33" ht="25" customHeight="1">
      <x:c r="A33" s="24" t="str">
        <x:v>be96c904-93de-538a-a00c-7bea0f1a1c67</x:v>
      </x:c>
      <x:c r="B33" s="24" t="str">
        <x:v>伊朗国家石油公司</x:v>
      </x:c>
      <x:c r="C33" s="24" t="str">
        <x:v>org</x:v>
      </x:c>
      <x:c r="D33" s="28" t="str">
        <x:v>{"伊朗国家石油公司","NIOC","National Iranian Oil Company"}</x:v>
      </x:c>
      <x:c r="E33" s="24"/>
      <x:c r="F33" s="24"/>
      <x:c r="G33" s="30" t="n">
        <x:v>0</x:v>
      </x:c>
      <x:c r="H33" s="32" t="b">
        <x:v>0</x:v>
      </x:c>
      <x:c r="I33" s="24"/>
      <x:c r="J33" s="24"/>
      <x:c r="K33" s="24"/>
    </x:row>
    <x:row r="34" ht="25" customHeight="1">
      <x:c r="A34" s="24" t="str">
        <x:v>c2179a8f-94ae-5505-9e3e-5a98d7857690</x:v>
      </x:c>
      <x:c r="B34" s="24" t="str">
        <x:v>沙特阿美</x:v>
      </x:c>
      <x:c r="C34" s="24" t="str">
        <x:v>org</x:v>
      </x:c>
      <x:c r="D34" s="28" t="str">
        <x:v>{"沙特阿美","Saudi Aramco","Aramco","阿美"}</x:v>
      </x:c>
      <x:c r="E34" s="24"/>
      <x:c r="F34" s="24"/>
      <x:c r="G34" s="30" t="n">
        <x:v>0</x:v>
      </x:c>
      <x:c r="H34" s="32" t="b">
        <x:v>0</x:v>
      </x:c>
      <x:c r="I34" s="24"/>
      <x:c r="J34" s="24"/>
      <x:c r="K34" s="24"/>
    </x:row>
    <x:row r="35" ht="25" customHeight="1">
      <x:c r="A35" s="24" t="str">
        <x:v>4bfccce9-8f60-5e25-937c-e37e8d11d904</x:v>
      </x:c>
      <x:c r="B35" s="24" t="str">
        <x:v>阿布扎比国家石油公司</x:v>
      </x:c>
      <x:c r="C35" s="24" t="str">
        <x:v>org</x:v>
      </x:c>
      <x:c r="D35" s="28" t="str">
        <x:v>{"阿布扎比国家石油公司","ADNOC","Abu Dhabi National Oil Company"}</x:v>
      </x:c>
      <x:c r="E35" s="24"/>
      <x:c r="F35" s="24"/>
      <x:c r="G35" s="30" t="n">
        <x:v>0</x:v>
      </x:c>
      <x:c r="H35" s="32" t="b">
        <x:v>0</x:v>
      </x:c>
      <x:c r="I35" s="24"/>
      <x:c r="J35" s="24"/>
      <x:c r="K35" s="24"/>
    </x:row>
    <x:row r="36" ht="25" customHeight="1">
      <x:c r="A36" s="24" t="str">
        <x:v>463bd28d-412b-5608-af4e-1ce839b920f7</x:v>
      </x:c>
      <x:c r="B36" s="24" t="str">
        <x:v>卡塔尔能源公司</x:v>
      </x:c>
      <x:c r="C36" s="24" t="str">
        <x:v>org</x:v>
      </x:c>
      <x:c r="D36" s="28" t="str">
        <x:v>{"卡塔尔能源公司","QatarEnergy","Qatar Petroleum"}</x:v>
      </x:c>
      <x:c r="E36" s="24"/>
      <x:c r="F36" s="24"/>
      <x:c r="G36" s="30" t="n">
        <x:v>0</x:v>
      </x:c>
      <x:c r="H36" s="32" t="b">
        <x:v>0</x:v>
      </x:c>
      <x:c r="I36" s="24"/>
      <x:c r="J36" s="24"/>
      <x:c r="K36" s="24"/>
    </x:row>
    <x:row r="37" ht="25" customHeight="1">
      <x:c r="A37" s="24" t="str">
        <x:v>86c16cdc-0614-5dd1-9fd5-2c0c344d0817</x:v>
      </x:c>
      <x:c r="B37" s="24" t="str">
        <x:v>伊拉克石油部</x:v>
      </x:c>
      <x:c r="C37" s="24" t="str">
        <x:v>org</x:v>
      </x:c>
      <x:c r="D37" s="28" t="str">
        <x:v>{"伊拉克石油部","Iraq Ministry of Oil"}</x:v>
      </x:c>
      <x:c r="E37" s="24"/>
      <x:c r="F37" s="24"/>
      <x:c r="G37" s="30" t="n">
        <x:v>0</x:v>
      </x:c>
      <x:c r="H37" s="32" t="b">
        <x:v>0</x:v>
      </x:c>
      <x:c r="I37" s="24"/>
      <x:c r="J37" s="24"/>
      <x:c r="K37" s="24"/>
    </x:row>
    <x:row r="38" ht="25" customHeight="1">
      <x:c r="A38" s="24" t="str">
        <x:v>fcc7bf4e-3376-54d6-ae63-55f2131ba728</x:v>
      </x:c>
      <x:c r="B38" s="24" t="str">
        <x:v>欧佩克</x:v>
      </x:c>
      <x:c r="C38" s="24" t="str">
        <x:v>org</x:v>
      </x:c>
      <x:c r="D38" s="28" t="str">
        <x:v>{"欧佩克","OPEC","石油输出国组织"}</x:v>
      </x:c>
      <x:c r="E38" s="24"/>
      <x:c r="F38" s="24"/>
      <x:c r="G38" s="30" t="n">
        <x:v>0</x:v>
      </x:c>
      <x:c r="H38" s="32" t="b">
        <x:v>0</x:v>
      </x:c>
      <x:c r="I38" s="24"/>
      <x:c r="J38" s="24"/>
      <x:c r="K38" s="24"/>
    </x:row>
    <x:row r="39" ht="25" customHeight="1">
      <x:c r="A39" s="24" t="str">
        <x:v>1fc8a271-a69c-5684-8cb1-9f231020e278</x:v>
      </x:c>
      <x:c r="B39" s="24" t="str">
        <x:v>OPEC+联盟</x:v>
      </x:c>
      <x:c r="C39" s="24" t="str">
        <x:v>org</x:v>
      </x:c>
      <x:c r="D39" s="28" t="str">
        <x:v>{"OPEC+联盟","OPEC+","欧佩克加","OPEC Plus"}</x:v>
      </x:c>
      <x:c r="E39" s="24"/>
      <x:c r="F39" s="24"/>
      <x:c r="G39" s="30" t="n">
        <x:v>0</x:v>
      </x:c>
      <x:c r="H39" s="32" t="b">
        <x:v>0</x:v>
      </x:c>
      <x:c r="I39" s="24"/>
      <x:c r="J39" s="24"/>
      <x:c r="K39" s="24"/>
    </x:row>
    <x:row r="40" ht="25" customHeight="1">
      <x:c r="A40" s="24" t="str">
        <x:v>862393f5-06ae-5250-b954-fcb918538604</x:v>
      </x:c>
      <x:c r="B40" s="24" t="str">
        <x:v>布伦特原油</x:v>
      </x:c>
      <x:c r="C40" s="24" t="str">
        <x:v>commodity</x:v>
      </x:c>
      <x:c r="D40" s="28" t="str">
        <x:v>{"布伦特原油","Brent","Brent Crude","布伦特","Brent Oil"}</x:v>
      </x:c>
      <x:c r="E40" s="24"/>
      <x:c r="F40" s="24"/>
      <x:c r="G40" s="30" t="n">
        <x:v>0</x:v>
      </x:c>
      <x:c r="H40" s="32" t="b">
        <x:v>0</x:v>
      </x:c>
      <x:c r="I40" s="24"/>
      <x:c r="J40" s="24"/>
      <x:c r="K40" s="24"/>
    </x:row>
    <x:row r="41" ht="25" customHeight="1">
      <x:c r="A41" s="24" t="str">
        <x:v>dd76519c-589c-5e51-8d41-f727ba6a9714</x:v>
      </x:c>
      <x:c r="B41" s="24" t="str">
        <x:v>WTI原油</x:v>
      </x:c>
      <x:c r="C41" s="24" t="str">
        <x:v>commodity</x:v>
      </x:c>
      <x:c r="D41" s="28" t="str">
        <x:v>{"WTI原油","WTI","West Texas Intermediate","西德州中质原油"}</x:v>
      </x:c>
      <x:c r="E41" s="24"/>
      <x:c r="F41" s="24"/>
      <x:c r="G41" s="30" t="n">
        <x:v>0</x:v>
      </x:c>
      <x:c r="H41" s="32" t="b">
        <x:v>0</x:v>
      </x:c>
      <x:c r="I41" s="24"/>
      <x:c r="J41" s="24"/>
      <x:c r="K41" s="24"/>
    </x:row>
    <x:row r="42" ht="25" customHeight="1">
      <x:c r="A42" s="24" t="str">
        <x:v>4445d43b-7d2f-5b34-b61f-86c37f89a2e7</x:v>
      </x:c>
      <x:c r="B42" s="24" t="str">
        <x:v>沙特东西输油管道</x:v>
      </x:c>
      <x:c r="C42" s="24" t="str">
        <x:v>asset</x:v>
      </x:c>
      <x:c r="D42" s="28" t="str">
        <x:v>{"沙特东西输油管道","East-West Pipeline","Petroline","沙特东西管道"}</x:v>
      </x:c>
      <x:c r="E42" s="24"/>
      <x:c r="F42" s="24"/>
      <x:c r="G42" s="30" t="n">
        <x:v>0</x:v>
      </x:c>
      <x:c r="H42" s="32" t="b">
        <x:v>0</x:v>
      </x:c>
      <x:c r="I42" s="24"/>
      <x:c r="J42" s="24"/>
      <x:c r="K42" s="24"/>
    </x:row>
    <x:row r="43" ht="25" customHeight="1">
      <x:c r="A43" s="24" t="str">
        <x:v>b7d6b969-b96d-5f4a-97de-e4c96b2de33c</x:v>
      </x:c>
      <x:c r="B43" s="24" t="str">
        <x:v>延布港</x:v>
      </x:c>
      <x:c r="C43" s="24" t="str">
        <x:v>place</x:v>
      </x:c>
      <x:c r="D43" s="28" t="str">
        <x:v>{"延布港","Yanbu","Yanbu Port","延布"}</x:v>
      </x:c>
      <x:c r="E43" s="24"/>
      <x:c r="F43" s="24"/>
      <x:c r="G43" s="30" t="n">
        <x:v>0</x:v>
      </x:c>
      <x:c r="H43" s="32" t="b">
        <x:v>0</x:v>
      </x:c>
      <x:c r="I43" s="24"/>
      <x:c r="J43" s="24"/>
      <x:c r="K43" s="24"/>
    </x:row>
    <x:row r="44" ht="25" customHeight="1">
      <x:c r="A44" s="24" t="str">
        <x:v>f24950c2-dc63-5bb8-9b14-9b6308bd2b01</x:v>
      </x:c>
      <x:c r="B44" s="24" t="str">
        <x:v>拉斯坦努拉港</x:v>
      </x:c>
      <x:c r="C44" s="24" t="str">
        <x:v>place</x:v>
      </x:c>
      <x:c r="D44" s="28" t="str">
        <x:v>{"拉斯坦努拉港","Ras Tanura","Ras Tanura Port"}</x:v>
      </x:c>
      <x:c r="E44" s="24"/>
      <x:c r="F44" s="24"/>
      <x:c r="G44" s="30" t="n">
        <x:v>0</x:v>
      </x:c>
      <x:c r="H44" s="32" t="b">
        <x:v>0</x:v>
      </x:c>
      <x:c r="I44" s="24"/>
      <x:c r="J44" s="24"/>
      <x:c r="K44" s="24"/>
    </x:row>
    <x:row r="45" ht="25" customHeight="1">
      <x:c r="A45" s="24" t="str">
        <x:v>e96c34f1-fbe9-5aa3-87da-74cde7059528</x:v>
      </x:c>
      <x:c r="B45" s="24" t="str">
        <x:v>富查伊拉港</x:v>
      </x:c>
      <x:c r="C45" s="24" t="str">
        <x:v>place</x:v>
      </x:c>
      <x:c r="D45" s="28" t="str">
        <x:v>{"富查伊拉港","Fujairah","Port of Fujairah"}</x:v>
      </x:c>
      <x:c r="E45" s="24"/>
      <x:c r="F45" s="24"/>
      <x:c r="G45" s="30" t="n">
        <x:v>0</x:v>
      </x:c>
      <x:c r="H45" s="32" t="b">
        <x:v>0</x:v>
      </x:c>
      <x:c r="I45" s="24"/>
      <x:c r="J45" s="24"/>
      <x:c r="K45" s="24"/>
    </x:row>
    <x:row r="46" ht="25" customHeight="1">
      <x:c r="A46" s="24" t="str">
        <x:v>00755d68-4f12-5742-970e-1e23e686d92d</x:v>
      </x:c>
      <x:c r="B46" s="24" t="str">
        <x:v>迪拜国家石油公司</x:v>
      </x:c>
      <x:c r="C46" s="24" t="str">
        <x:v>org</x:v>
      </x:c>
      <x:c r="D46" s="28" t="str">
        <x:v>{"迪拜国家石油公司","ENOC","Emirates National Oil Company"}</x:v>
      </x:c>
      <x:c r="E46" s="24"/>
      <x:c r="F46" s="24"/>
      <x:c r="G46" s="30" t="n">
        <x:v>0</x:v>
      </x:c>
      <x:c r="H46" s="32" t="b">
        <x:v>0</x:v>
      </x:c>
      <x:c r="I46" s="24"/>
      <x:c r="J46" s="24"/>
      <x:c r="K46" s="24"/>
    </x:row>
    <x:row r="47" ht="25" customHeight="1">
      <x:c r="A47" s="24" t="str">
        <x:v>b7ce1534-775c-547c-aa55-1d32afb7424b</x:v>
      </x:c>
      <x:c r="B47" s="24" t="str">
        <x:v>迪拜商业交易所</x:v>
      </x:c>
      <x:c r="C47" s="24" t="str">
        <x:v>org</x:v>
      </x:c>
      <x:c r="D47" s="28" t="str">
        <x:v>{"迪拜商业交易所","Dubai Mercantile Exchange","DME"}</x:v>
      </x:c>
      <x:c r="E47" s="24"/>
      <x:c r="F47" s="24"/>
      <x:c r="G47" s="30" t="n">
        <x:v>0</x:v>
      </x:c>
      <x:c r="H47" s="32" t="b">
        <x:v>0</x:v>
      </x:c>
      <x:c r="I47" s="24"/>
      <x:c r="J47" s="24"/>
      <x:c r="K47" s="24"/>
    </x:row>
    <x:row r="48" ht="25" customHeight="1">
      <x:c r="A48" s="24" t="str">
        <x:v>64ce5888-dd48-5d5b-b076-65cb6454e34a</x:v>
      </x:c>
      <x:c r="B48" s="24" t="str">
        <x:v>阿曼原油</x:v>
      </x:c>
      <x:c r="C48" s="24" t="str">
        <x:v>commodity</x:v>
      </x:c>
      <x:c r="D48" s="28" t="str">
        <x:v>{"阿曼原油","Oman Crude","DME Oman"}</x:v>
      </x:c>
      <x:c r="E48" s="24"/>
      <x:c r="F48" s="24"/>
      <x:c r="G48" s="30" t="n">
        <x:v>0</x:v>
      </x:c>
      <x:c r="H48" s="32" t="b">
        <x:v>0</x:v>
      </x:c>
      <x:c r="I48" s="24"/>
      <x:c r="J48" s="24"/>
      <x:c r="K48" s="24"/>
    </x:row>
    <x:row r="49" ht="25" customHeight="1">
      <x:c r="A49" s="24" t="str">
        <x:v>75207ac7-f1ef-5fba-8a0d-a76bdf2018cb</x:v>
      </x:c>
      <x:c r="B49" s="24" t="str">
        <x:v>LNG液化天然气</x:v>
      </x:c>
      <x:c r="C49" s="24" t="str">
        <x:v>commodity</x:v>
      </x:c>
      <x:c r="D49" s="28" t="str">
        <x:v>{"LNG液化天然气","LNG","Liquefied Natural Gas","液化天然气"}</x:v>
      </x:c>
      <x:c r="E49" s="24"/>
      <x:c r="F49" s="24"/>
      <x:c r="G49" s="30" t="n">
        <x:v>0</x:v>
      </x:c>
      <x:c r="H49" s="32" t="b">
        <x:v>0</x:v>
      </x:c>
      <x:c r="I49" s="24"/>
      <x:c r="J49" s="24"/>
      <x:c r="K49" s="24"/>
    </x:row>
    <x:row r="50" ht="25" customHeight="1">
      <x:c r="A50" s="24" t="str">
        <x:v>26c17299-09a3-555d-b1dd-d74b27923c69</x:v>
      </x:c>
      <x:c r="B50" s="24" t="str">
        <x:v>哈马斯</x:v>
      </x:c>
      <x:c r="C50" s="24" t="str">
        <x:v>org</x:v>
      </x:c>
      <x:c r="D50" s="28" t="str">
        <x:v>{"哈马斯","Hamas","巴勒斯坦伊斯兰抵抗运动"}</x:v>
      </x:c>
      <x:c r="E50" s="24"/>
      <x:c r="F50" s="24"/>
      <x:c r="G50" s="30" t="n">
        <x:v>0</x:v>
      </x:c>
      <x:c r="H50" s="32" t="b">
        <x:v>0</x:v>
      </x:c>
      <x:c r="I50" s="24"/>
      <x:c r="J50" s="24"/>
      <x:c r="K50" s="24"/>
    </x:row>
    <x:row r="51" ht="25" customHeight="1">
      <x:c r="A51" s="24" t="str">
        <x:v>410adc92-2958-5780-ba7d-30c717b3514f</x:v>
      </x:c>
      <x:c r="B51" s="24" t="str">
        <x:v>以色列国防军</x:v>
      </x:c>
      <x:c r="C51" s="24" t="str">
        <x:v>org</x:v>
      </x:c>
      <x:c r="D51" s="28" t="str">
        <x:v>{"以色列国防军","IDF","Israel Defense Forces","以军"}</x:v>
      </x:c>
      <x:c r="E51" s="24"/>
      <x:c r="F51" s="24"/>
      <x:c r="G51" s="30" t="n">
        <x:v>0</x:v>
      </x:c>
      <x:c r="H51" s="32" t="b">
        <x:v>0</x:v>
      </x:c>
      <x:c r="I51" s="24"/>
      <x:c r="J51" s="24"/>
      <x:c r="K51" s="24"/>
    </x:row>
    <x:row r="52" ht="25" customHeight="1">
      <x:c r="A52" s="24" t="str">
        <x:v>33173f8d-fefb-5a45-bc25-9649064b698b</x:v>
      </x:c>
      <x:c r="B52" s="24" t="str">
        <x:v>以色列政府</x:v>
      </x:c>
      <x:c r="C52" s="24" t="str">
        <x:v>org</x:v>
      </x:c>
      <x:c r="D52" s="28" t="str">
        <x:v>{"以色列政府","Government of Israel","以色列内阁"}</x:v>
      </x:c>
      <x:c r="E52" s="24"/>
      <x:c r="F52" s="24"/>
      <x:c r="G52" s="30" t="n">
        <x:v>0</x:v>
      </x:c>
      <x:c r="H52" s="32" t="b">
        <x:v>0</x:v>
      </x:c>
      <x:c r="I52" s="24"/>
      <x:c r="J52" s="24"/>
      <x:c r="K52" s="24"/>
    </x:row>
    <x:row r="53" ht="25" customHeight="1">
      <x:c r="A53" s="24" t="str">
        <x:v>0618ba7d-1ebd-506a-a8d9-238eaa1dd3e2</x:v>
      </x:c>
      <x:c r="B53" s="24" t="str">
        <x:v>巴勒斯坦民族权力机构</x:v>
      </x:c>
      <x:c r="C53" s="24" t="str">
        <x:v>org</x:v>
      </x:c>
      <x:c r="D53" s="28" t="str">
        <x:v>{"巴勒斯坦民族权力机构","Palestinian Authority","PA","巴勒斯坦权力机构"}</x:v>
      </x:c>
      <x:c r="E53" s="24"/>
      <x:c r="F53" s="24"/>
      <x:c r="G53" s="30" t="n">
        <x:v>0</x:v>
      </x:c>
      <x:c r="H53" s="32" t="b">
        <x:v>0</x:v>
      </x:c>
      <x:c r="I53" s="24"/>
      <x:c r="J53" s="24"/>
      <x:c r="K53" s="24"/>
    </x:row>
    <x:row r="54" ht="25" customHeight="1">
      <x:c r="A54" s="24" t="str">
        <x:v>f82f2edd-7e7b-5ed1-90d9-7a099b860b27</x:v>
      </x:c>
      <x:c r="B54" s="24" t="str">
        <x:v>联合国近东巴勒斯坦难民救济和工程处</x:v>
      </x:c>
      <x:c r="C54" s="24" t="str">
        <x:v>org</x:v>
      </x:c>
      <x:c r="D54" s="28" t="str">
        <x:v>{"联合国近东巴勒斯坦难民救济和工程处","UNRWA","近东救济工程处"}</x:v>
      </x:c>
      <x:c r="E54" s="24"/>
      <x:c r="F54" s="24"/>
      <x:c r="G54" s="30" t="n">
        <x:v>0</x:v>
      </x:c>
      <x:c r="H54" s="32" t="b">
        <x:v>0</x:v>
      </x:c>
      <x:c r="I54" s="24"/>
      <x:c r="J54" s="24"/>
      <x:c r="K54" s="24"/>
    </x:row>
    <x:row r="55" ht="25" customHeight="1">
      <x:c r="A55" s="24" t="str">
        <x:v>0c095e4a-a238-59ec-8985-3a20dc275461</x:v>
      </x:c>
      <x:c r="B55" s="24" t="str">
        <x:v>联合国人道主义事务协调厅</x:v>
      </x:c>
      <x:c r="C55" s="24" t="str">
        <x:v>org</x:v>
      </x:c>
      <x:c r="D55" s="28" t="str">
        <x:v>{"联合国人道主义事务协调厅","OCHA","联合国人道协调厅"}</x:v>
      </x:c>
      <x:c r="E55" s="24"/>
      <x:c r="F55" s="24"/>
      <x:c r="G55" s="30" t="n">
        <x:v>0</x:v>
      </x:c>
      <x:c r="H55" s="32" t="b">
        <x:v>0</x:v>
      </x:c>
      <x:c r="I55" s="24"/>
      <x:c r="J55" s="24"/>
      <x:c r="K55" s="24"/>
    </x:row>
    <x:row r="56" ht="25" customHeight="1">
      <x:c r="A56" s="24" t="str">
        <x:v>998b445f-23c0-50ea-a4b0-f53aa458550b</x:v>
      </x:c>
      <x:c r="B56" s="24" t="str">
        <x:v>红十字国际委员会</x:v>
      </x:c>
      <x:c r="C56" s="24" t="str">
        <x:v>org</x:v>
      </x:c>
      <x:c r="D56" s="28" t="str">
        <x:v>{"红十字国际委员会","ICRC","International Committee of the Red Cross"}</x:v>
      </x:c>
      <x:c r="E56" s="24"/>
      <x:c r="F56" s="24"/>
      <x:c r="G56" s="30" t="n">
        <x:v>0</x:v>
      </x:c>
      <x:c r="H56" s="32" t="b">
        <x:v>0</x:v>
      </x:c>
      <x:c r="I56" s="24"/>
      <x:c r="J56" s="24"/>
      <x:c r="K56" s="24"/>
    </x:row>
    <x:row r="57" ht="25" customHeight="1">
      <x:c r="A57" s="24" t="str">
        <x:v>fd104494-442b-538f-93c6-20639fb4384b</x:v>
      </x:c>
      <x:c r="B57" s="24" t="str">
        <x:v>加沙地带</x:v>
      </x:c>
      <x:c r="C57" s="24" t="str">
        <x:v>place</x:v>
      </x:c>
      <x:c r="D57" s="28" t="str">
        <x:v>{"加沙地带","Gaza Strip","加沙"}</x:v>
      </x:c>
      <x:c r="E57" s="24"/>
      <x:c r="F57" s="24"/>
      <x:c r="G57" s="30" t="n">
        <x:v>0</x:v>
      </x:c>
      <x:c r="H57" s="32" t="b">
        <x:v>0</x:v>
      </x:c>
      <x:c r="I57" s="24"/>
      <x:c r="J57" s="24"/>
      <x:c r="K57" s="24"/>
    </x:row>
    <x:row r="58" ht="25" customHeight="1">
      <x:c r="A58" s="24" t="str">
        <x:v>3c7fdc34-39db-5887-b263-808fd34b0821</x:v>
      </x:c>
      <x:c r="B58" s="24" t="str">
        <x:v>拉法口岸</x:v>
      </x:c>
      <x:c r="C58" s="24" t="str">
        <x:v>place</x:v>
      </x:c>
      <x:c r="D58" s="28" t="str">
        <x:v>{"拉法口岸","Rafah Crossing","拉法过境点"}</x:v>
      </x:c>
      <x:c r="E58" s="24"/>
      <x:c r="F58" s="24"/>
      <x:c r="G58" s="30" t="n">
        <x:v>0</x:v>
      </x:c>
      <x:c r="H58" s="32" t="b">
        <x:v>0</x:v>
      </x:c>
      <x:c r="I58" s="24"/>
      <x:c r="J58" s="24"/>
      <x:c r="K58" s="24"/>
    </x:row>
    <x:row r="59" ht="25" customHeight="1">
      <x:c r="A59" s="24" t="str">
        <x:v>775bf540-36f0-530d-8b48-4e4bc0ea38f0</x:v>
      </x:c>
      <x:c r="B59" s="24" t="str">
        <x:v>汗尤尼斯</x:v>
      </x:c>
      <x:c r="C59" s="24" t="str">
        <x:v>place</x:v>
      </x:c>
      <x:c r="D59" s="28" t="str">
        <x:v>{"汗尤尼斯","Khan Younis","汗尤尼斯市"}</x:v>
      </x:c>
      <x:c r="E59" s="24"/>
      <x:c r="F59" s="24"/>
      <x:c r="G59" s="30" t="n">
        <x:v>0</x:v>
      </x:c>
      <x:c r="H59" s="32" t="b">
        <x:v>0</x:v>
      </x:c>
      <x:c r="I59" s="24"/>
      <x:c r="J59" s="24"/>
      <x:c r="K59" s="24"/>
    </x:row>
    <x:row r="60" ht="25" customHeight="1">
      <x:c r="A60" s="24" t="str">
        <x:v>5a27b4a0-b91e-5bfb-bcaa-88d3dba97792</x:v>
      </x:c>
      <x:c r="B60" s="24" t="str">
        <x:v>本雅明·内塔尼亚胡</x:v>
      </x:c>
      <x:c r="C60" s="24" t="str">
        <x:v>person</x:v>
      </x:c>
      <x:c r="D60" s="28" t="str">
        <x:v>{"本雅明·内塔尼亚胡","Benjamin Netanyahu","内塔尼亚胡"}</x:v>
      </x:c>
      <x:c r="E60" s="24"/>
      <x:c r="F60" s="24"/>
      <x:c r="G60" s="30" t="n">
        <x:v>0</x:v>
      </x:c>
      <x:c r="H60" s="32" t="b">
        <x:v>0</x:v>
      </x:c>
      <x:c r="I60" s="24"/>
      <x:c r="J60" s="24"/>
      <x:c r="K60" s="24"/>
    </x:row>
    <x:row r="61" ht="25" customHeight="1">
      <x:c r="A61" s="24" t="str">
        <x:v>781fe3bf-4a6e-505d-b2fc-fc72978671ec</x:v>
      </x:c>
      <x:c r="B61" s="24" t="str">
        <x:v>加沙国际稳定部队</x:v>
      </x:c>
      <x:c r="C61" s="24" t="str">
        <x:v>org</x:v>
      </x:c>
      <x:c r="D61" s="28" t="str">
        <x:v>{"加沙国际稳定部队","International Stabilization Force","ISF","国际稳定部队"}</x:v>
      </x:c>
      <x:c r="E61" s="24"/>
      <x:c r="F61" s="24"/>
      <x:c r="G61" s="30" t="n">
        <x:v>0</x:v>
      </x:c>
      <x:c r="H61" s="32" t="b">
        <x:v>0</x:v>
      </x:c>
      <x:c r="I61" s="24"/>
      <x:c r="J61" s="24"/>
      <x:c r="K61" s="24"/>
    </x:row>
    <x:row r="62" ht="25" customHeight="1">
      <x:c r="A62" s="24" t="str">
        <x:v>b8187b87-20a8-5f4e-b0ba-b0293215bfbf</x:v>
      </x:c>
      <x:c r="B62" s="24" t="str">
        <x:v>真主党</x:v>
      </x:c>
      <x:c r="C62" s="24" t="str">
        <x:v>org</x:v>
      </x:c>
      <x:c r="D62" s="28" t="str">
        <x:v>{"真主党","Hezbollah","黎巴嫩真主党","Hizbollah"}</x:v>
      </x:c>
      <x:c r="E62" s="24"/>
      <x:c r="F62" s="24"/>
      <x:c r="G62" s="30" t="n">
        <x:v>0</x:v>
      </x:c>
      <x:c r="H62" s="32" t="b">
        <x:v>0</x:v>
      </x:c>
      <x:c r="I62" s="24"/>
      <x:c r="J62" s="24"/>
      <x:c r="K62" s="24"/>
    </x:row>
    <x:row r="63" ht="25" customHeight="1">
      <x:c r="A63" s="24" t="str">
        <x:v>459d514d-264b-54a2-8603-ead79afd9dec</x:v>
      </x:c>
      <x:c r="B63" s="24" t="str">
        <x:v>黎巴嫩武装部队</x:v>
      </x:c>
      <x:c r="C63" s="24" t="str">
        <x:v>org</x:v>
      </x:c>
      <x:c r="D63" s="28" t="str">
        <x:v>{"黎巴嫩武装部队","LAF","Lebanese Armed Forces","黎巴嫩军队"}</x:v>
      </x:c>
      <x:c r="E63" s="24"/>
      <x:c r="F63" s="24"/>
      <x:c r="G63" s="30" t="n">
        <x:v>0</x:v>
      </x:c>
      <x:c r="H63" s="32" t="b">
        <x:v>0</x:v>
      </x:c>
      <x:c r="I63" s="24"/>
      <x:c r="J63" s="24"/>
      <x:c r="K63" s="24"/>
    </x:row>
    <x:row r="64" ht="25" customHeight="1">
      <x:c r="A64" s="24" t="str">
        <x:v>4e0cedde-dbe3-507c-8e40-eb92923ae72f</x:v>
      </x:c>
      <x:c r="B64" s="24" t="str">
        <x:v>黎巴嫩政府</x:v>
      </x:c>
      <x:c r="C64" s="24" t="str">
        <x:v>org</x:v>
      </x:c>
      <x:c r="D64" s="28" t="str">
        <x:v>{"黎巴嫩政府","Government of Lebanon"}</x:v>
      </x:c>
      <x:c r="E64" s="24"/>
      <x:c r="F64" s="24"/>
      <x:c r="G64" s="30" t="n">
        <x:v>0</x:v>
      </x:c>
      <x:c r="H64" s="32" t="b">
        <x:v>0</x:v>
      </x:c>
      <x:c r="I64" s="24"/>
      <x:c r="J64" s="24"/>
      <x:c r="K64" s="24"/>
    </x:row>
    <x:row r="65" ht="25" customHeight="1">
      <x:c r="A65" s="24" t="str">
        <x:v>748596d5-3d52-5d4e-a342-5727a7578299</x:v>
      </x:c>
      <x:c r="B65" s="24" t="str">
        <x:v>黎巴嫩南部</x:v>
      </x:c>
      <x:c r="C65" s="24" t="str">
        <x:v>place</x:v>
      </x:c>
      <x:c r="D65" s="28" t="str">
        <x:v>{"黎巴嫩南部","Southern Lebanon","南黎巴嫩"}</x:v>
      </x:c>
      <x:c r="E65" s="24"/>
      <x:c r="F65" s="24"/>
      <x:c r="G65" s="30" t="n">
        <x:v>0</x:v>
      </x:c>
      <x:c r="H65" s="32" t="b">
        <x:v>0</x:v>
      </x:c>
      <x:c r="I65" s="24"/>
      <x:c r="J65" s="24"/>
      <x:c r="K65" s="24"/>
    </x:row>
    <x:row r="66" ht="25" customHeight="1">
      <x:c r="A66" s="24" t="str">
        <x:v>797ffd3e-9de0-5e21-a444-305461daf9b9</x:v>
      </x:c>
      <x:c r="B66" s="24" t="str">
        <x:v>蓝线</x:v>
      </x:c>
      <x:c r="C66" s="24" t="str">
        <x:v>place</x:v>
      </x:c>
      <x:c r="D66" s="28" t="str">
        <x:v>{"蓝线","Blue Line","以黎蓝线"}</x:v>
      </x:c>
      <x:c r="E66" s="24"/>
      <x:c r="F66" s="24"/>
      <x:c r="G66" s="30" t="n">
        <x:v>0</x:v>
      </x:c>
      <x:c r="H66" s="32" t="b">
        <x:v>0</x:v>
      </x:c>
      <x:c r="I66" s="24"/>
      <x:c r="J66" s="24"/>
      <x:c r="K66" s="24"/>
    </x:row>
    <x:row r="67" ht="25" customHeight="1">
      <x:c r="A67" s="24" t="str">
        <x:v>fff6f05b-e8b2-5d36-b9a9-23243154a14a</x:v>
      </x:c>
      <x:c r="B67" s="24" t="str">
        <x:v>联合国驻黎巴嫩临时部队</x:v>
      </x:c>
      <x:c r="C67" s="24" t="str">
        <x:v>org</x:v>
      </x:c>
      <x:c r="D67" s="28" t="str">
        <x:v>{"联合国驻黎巴嫩临时部队","UNIFIL","联合国驻黎部队"}</x:v>
      </x:c>
      <x:c r="E67" s="24"/>
      <x:c r="F67" s="24"/>
      <x:c r="G67" s="30" t="n">
        <x:v>0</x:v>
      </x:c>
      <x:c r="H67" s="32" t="b">
        <x:v>0</x:v>
      </x:c>
      <x:c r="I67" s="24"/>
      <x:c r="J67" s="24"/>
      <x:c r="K67" s="24"/>
    </x:row>
    <x:row r="68" ht="25" customHeight="1">
      <x:c r="A68" s="24" t="str">
        <x:v>13c58dea-849e-5624-92d7-76b965459bc6</x:v>
      </x:c>
      <x:c r="B68" s="24" t="str">
        <x:v>以色列国防部</x:v>
      </x:c>
      <x:c r="C68" s="24" t="str">
        <x:v>org</x:v>
      </x:c>
      <x:c r="D68" s="28" t="str">
        <x:v>{"以色列国防部","Israeli Ministry of Defense"}</x:v>
      </x:c>
      <x:c r="E68" s="24"/>
      <x:c r="F68" s="24"/>
      <x:c r="G68" s="30" t="n">
        <x:v>0</x:v>
      </x:c>
      <x:c r="H68" s="32" t="b">
        <x:v>0</x:v>
      </x:c>
      <x:c r="I68" s="24"/>
      <x:c r="J68" s="24"/>
      <x:c r="K68" s="24"/>
    </x:row>
    <x:row r="69" ht="25" customHeight="1">
      <x:c r="A69" s="24" t="str">
        <x:v>12475600-7392-546c-b1da-f993a3ed472b</x:v>
      </x:c>
      <x:c r="B69" s="24" t="str">
        <x:v>乌克兰武装部队</x:v>
      </x:c>
      <x:c r="C69" s="24" t="str">
        <x:v>org</x:v>
      </x:c>
      <x:c r="D69" s="28" t="str">
        <x:v>{"乌克兰武装部队","AFU","Armed Forces of Ukraine","乌军"}</x:v>
      </x:c>
      <x:c r="E69" s="24"/>
      <x:c r="F69" s="24"/>
      <x:c r="G69" s="30" t="n">
        <x:v>0</x:v>
      </x:c>
      <x:c r="H69" s="32" t="b">
        <x:v>0</x:v>
      </x:c>
      <x:c r="I69" s="24"/>
      <x:c r="J69" s="24"/>
      <x:c r="K69" s="24"/>
    </x:row>
    <x:row r="70" ht="25" customHeight="1">
      <x:c r="A70" s="24" t="str">
        <x:v>70bd7b3c-9c4f-5a5e-a1ea-602dc11a9cb0</x:v>
      </x:c>
      <x:c r="B70" s="24" t="str">
        <x:v>俄罗斯武装力量</x:v>
      </x:c>
      <x:c r="C70" s="24" t="str">
        <x:v>org</x:v>
      </x:c>
      <x:c r="D70" s="28" t="str">
        <x:v>{"俄罗斯武装力量","Russian Armed Forces","俄军"}</x:v>
      </x:c>
      <x:c r="E70" s="24"/>
      <x:c r="F70" s="24"/>
      <x:c r="G70" s="30" t="n">
        <x:v>0</x:v>
      </x:c>
      <x:c r="H70" s="32" t="b">
        <x:v>0</x:v>
      </x:c>
      <x:c r="I70" s="24"/>
      <x:c r="J70" s="24"/>
      <x:c r="K70" s="24"/>
    </x:row>
    <x:row r="71" ht="25" customHeight="1">
      <x:c r="A71" s="24" t="str">
        <x:v>f025197b-9326-5732-8479-5df0be23218f</x:v>
      </x:c>
      <x:c r="B71" s="24" t="str">
        <x:v>乌克兰国家电力公司</x:v>
      </x:c>
      <x:c r="C71" s="24" t="str">
        <x:v>org</x:v>
      </x:c>
      <x:c r="D71" s="28" t="str">
        <x:v>{"乌克兰国家电力公司","Ukrenergo","乌克兰电网运营商"}</x:v>
      </x:c>
      <x:c r="E71" s="24"/>
      <x:c r="F71" s="24"/>
      <x:c r="G71" s="30" t="n">
        <x:v>0</x:v>
      </x:c>
      <x:c r="H71" s="32" t="b">
        <x:v>0</x:v>
      </x:c>
      <x:c r="I71" s="24"/>
      <x:c r="J71" s="24"/>
      <x:c r="K71" s="24"/>
    </x:row>
    <x:row r="72" ht="25" customHeight="1">
      <x:c r="A72" s="24" t="str">
        <x:v>46563cf2-6d4d-56fb-b657-50862847eb96</x:v>
      </x:c>
      <x:c r="B72" s="24" t="str">
        <x:v>乌克兰国家石油天然气公司</x:v>
      </x:c>
      <x:c r="C72" s="24" t="str">
        <x:v>org</x:v>
      </x:c>
      <x:c r="D72" s="28" t="str">
        <x:v>{"乌克兰国家石油天然气公司","Naftogaz","纳夫托加兹"}</x:v>
      </x:c>
      <x:c r="E72" s="24"/>
      <x:c r="F72" s="24"/>
      <x:c r="G72" s="30" t="n">
        <x:v>0</x:v>
      </x:c>
      <x:c r="H72" s="32" t="b">
        <x:v>0</x:v>
      </x:c>
      <x:c r="I72" s="24"/>
      <x:c r="J72" s="24"/>
      <x:c r="K72" s="24"/>
    </x:row>
    <x:row r="73" ht="25" customHeight="1">
      <x:c r="A73" s="24" t="str">
        <x:v>684468f0-aab5-5965-b9a3-8ae58754b7da</x:v>
      </x:c>
      <x:c r="B73" s="24" t="str">
        <x:v>俄罗斯天然气工业股份公司</x:v>
      </x:c>
      <x:c r="C73" s="24" t="str">
        <x:v>org</x:v>
      </x:c>
      <x:c r="D73" s="28" t="str">
        <x:v>{"俄罗斯天然气工业股份公司","Gazprom","俄罗斯天然气工业公司","俄气"}</x:v>
      </x:c>
      <x:c r="E73" s="24"/>
      <x:c r="F73" s="24"/>
      <x:c r="G73" s="30" t="n">
        <x:v>0</x:v>
      </x:c>
      <x:c r="H73" s="32" t="b">
        <x:v>0</x:v>
      </x:c>
      <x:c r="I73" s="24"/>
      <x:c r="J73" s="24"/>
      <x:c r="K73" s="24"/>
    </x:row>
    <x:row r="74" ht="25" customHeight="1">
      <x:c r="A74" s="24" t="str">
        <x:v>a8a05986-884c-518c-ab42-e3de3e4ea50a</x:v>
      </x:c>
      <x:c r="B74" s="24" t="str">
        <x:v>俄罗斯石油公司</x:v>
      </x:c>
      <x:c r="C74" s="24" t="str">
        <x:v>org</x:v>
      </x:c>
      <x:c r="D74" s="28" t="str">
        <x:v>{"俄罗斯石油公司","Rosneft","俄油"}</x:v>
      </x:c>
      <x:c r="E74" s="24"/>
      <x:c r="F74" s="24"/>
      <x:c r="G74" s="30" t="n">
        <x:v>0</x:v>
      </x:c>
      <x:c r="H74" s="32" t="b">
        <x:v>0</x:v>
      </x:c>
      <x:c r="I74" s="24"/>
      <x:c r="J74" s="24"/>
      <x:c r="K74" s="24"/>
    </x:row>
    <x:row r="75" ht="25" customHeight="1">
      <x:c r="A75" s="24" t="str">
        <x:v>8f685622-1936-5a4c-8eca-b91d5500385a</x:v>
      </x:c>
      <x:c r="B75" s="24" t="str">
        <x:v>卢克石油</x:v>
      </x:c>
      <x:c r="C75" s="24" t="str">
        <x:v>org</x:v>
      </x:c>
      <x:c r="D75" s="28" t="str">
        <x:v>{"卢克石油","Lukoil","俄罗斯卢克石油"}</x:v>
      </x:c>
      <x:c r="E75" s="24"/>
      <x:c r="F75" s="24"/>
      <x:c r="G75" s="30" t="n">
        <x:v>0</x:v>
      </x:c>
      <x:c r="H75" s="32" t="b">
        <x:v>0</x:v>
      </x:c>
      <x:c r="I75" s="24"/>
      <x:c r="J75" s="24"/>
      <x:c r="K75" s="24"/>
    </x:row>
    <x:row r="76" ht="25" customHeight="1">
      <x:c r="A76" s="24" t="str">
        <x:v>78900532-b8ae-563d-a5ac-124e4f580877</x:v>
      </x:c>
      <x:c r="B76" s="24" t="str">
        <x:v>弗拉基米尔·普京</x:v>
      </x:c>
      <x:c r="C76" s="24" t="str">
        <x:v>person</x:v>
      </x:c>
      <x:c r="D76" s="28" t="str">
        <x:v>{"弗拉基米尔·普京","Vladimir Putin","普京"}</x:v>
      </x:c>
      <x:c r="E76" s="24"/>
      <x:c r="F76" s="24"/>
      <x:c r="G76" s="30" t="n">
        <x:v>0</x:v>
      </x:c>
      <x:c r="H76" s="32" t="b">
        <x:v>0</x:v>
      </x:c>
      <x:c r="I76" s="24"/>
      <x:c r="J76" s="24"/>
      <x:c r="K76" s="24"/>
    </x:row>
    <x:row r="77" ht="25" customHeight="1">
      <x:c r="A77" s="24" t="str">
        <x:v>c5774f2a-fd18-5e95-911f-37c372e039a4</x:v>
      </x:c>
      <x:c r="B77" s="24" t="str">
        <x:v>弗拉基米尔·泽连斯基</x:v>
      </x:c>
      <x:c r="C77" s="24" t="str">
        <x:v>person</x:v>
      </x:c>
      <x:c r="D77" s="28" t="str">
        <x:v>{"弗拉基米尔·泽连斯基","Volodymyr Zelenskyy","Volodymyr Zelenskiy","泽连斯基"}</x:v>
      </x:c>
      <x:c r="E77" s="24"/>
      <x:c r="F77" s="24"/>
      <x:c r="G77" s="30" t="n">
        <x:v>0</x:v>
      </x:c>
      <x:c r="H77" s="32" t="b">
        <x:v>0</x:v>
      </x:c>
      <x:c r="I77" s="24"/>
      <x:c r="J77" s="24"/>
      <x:c r="K77" s="24"/>
    </x:row>
    <x:row r="78" ht="25" customHeight="1">
      <x:c r="A78" s="24" t="str">
        <x:v>e6145fd8-8e50-5503-8c78-eec8fda3f618</x:v>
      </x:c>
      <x:c r="B78" s="24" t="str">
        <x:v>哈尔科夫</x:v>
      </x:c>
      <x:c r="C78" s="24" t="str">
        <x:v>place</x:v>
      </x:c>
      <x:c r="D78" s="28" t="str">
        <x:v>{"哈尔科夫","Kharkiv","哈尔科夫市"}</x:v>
      </x:c>
      <x:c r="E78" s="24"/>
      <x:c r="F78" s="24"/>
      <x:c r="G78" s="30" t="n">
        <x:v>0</x:v>
      </x:c>
      <x:c r="H78" s="32" t="b">
        <x:v>0</x:v>
      </x:c>
      <x:c r="I78" s="24"/>
      <x:c r="J78" s="24"/>
      <x:c r="K78" s="24"/>
    </x:row>
    <x:row r="79" ht="25" customHeight="1">
      <x:c r="A79" s="24" t="str">
        <x:v>f5fe7520-191d-5d85-84ea-03009a038bb3</x:v>
      </x:c>
      <x:c r="B79" s="24" t="str">
        <x:v>黑海</x:v>
      </x:c>
      <x:c r="C79" s="24" t="str">
        <x:v>place</x:v>
      </x:c>
      <x:c r="D79" s="28" t="str">
        <x:v>{"黑海","Black Sea","黑海海域"}</x:v>
      </x:c>
      <x:c r="E79" s="24"/>
      <x:c r="F79" s="24"/>
      <x:c r="G79" s="30" t="n">
        <x:v>0</x:v>
      </x:c>
      <x:c r="H79" s="32" t="b">
        <x:v>0</x:v>
      </x:c>
      <x:c r="I79" s="24"/>
      <x:c r="J79" s="24"/>
      <x:c r="K79" s="24"/>
    </x:row>
    <x:row r="80" ht="25" customHeight="1">
      <x:c r="A80" s="24" t="str">
        <x:v>1fece7c6-bce9-5bb0-876a-c8ee2d7b92ed</x:v>
      </x:c>
      <x:c r="B80" s="24" t="str">
        <x:v>黑海谷物出口走廊</x:v>
      </x:c>
      <x:c r="C80" s="24" t="str">
        <x:v>concept</x:v>
      </x:c>
      <x:c r="D80" s="28" t="str">
        <x:v>{"黑海谷物出口走廊","Black Sea Grain Corridor","黑海粮食走廊"}</x:v>
      </x:c>
      <x:c r="E80" s="24"/>
      <x:c r="F80" s="24"/>
      <x:c r="G80" s="30" t="n">
        <x:v>0</x:v>
      </x:c>
      <x:c r="H80" s="32" t="b">
        <x:v>0</x:v>
      </x:c>
      <x:c r="I80" s="24"/>
      <x:c r="J80" s="24"/>
      <x:c r="K80" s="24"/>
    </x:row>
    <x:row r="81" ht="25" customHeight="1">
      <x:c r="A81" s="24" t="str">
        <x:v>4b2bd666-0c6d-59c8-8fdb-f8f864b47fc5</x:v>
      </x:c>
      <x:c r="B81" s="24" t="str">
        <x:v>北大西洋公约组织</x:v>
      </x:c>
      <x:c r="C81" s="24" t="str">
        <x:v>org</x:v>
      </x:c>
      <x:c r="D81" s="28" t="str">
        <x:v>{"北大西洋公约组织","NATO","北约","North Atlantic Treaty Organization"}</x:v>
      </x:c>
      <x:c r="E81" s="24"/>
      <x:c r="F81" s="24"/>
      <x:c r="G81" s="30" t="n">
        <x:v>0</x:v>
      </x:c>
      <x:c r="H81" s="32" t="b">
        <x:v>0</x:v>
      </x:c>
      <x:c r="I81" s="24"/>
      <x:c r="J81" s="24"/>
      <x:c r="K81" s="24"/>
    </x:row>
    <x:row r="82" ht="25" customHeight="1">
      <x:c r="A82" s="24" t="str">
        <x:v>3b6575a1-79d1-55c2-87ce-4e60e4cffa9e</x:v>
      </x:c>
      <x:c r="B82" s="24" t="str">
        <x:v>欧洲联盟</x:v>
      </x:c>
      <x:c r="C82" s="24" t="str">
        <x:v>org</x:v>
      </x:c>
      <x:c r="D82" s="28" t="str">
        <x:v>{"欧洲联盟","EU","欧盟","European Union"}</x:v>
      </x:c>
      <x:c r="E82" s="24"/>
      <x:c r="F82" s="24"/>
      <x:c r="G82" s="30" t="n">
        <x:v>0</x:v>
      </x:c>
      <x:c r="H82" s="32" t="b">
        <x:v>0</x:v>
      </x:c>
      <x:c r="I82" s="24"/>
      <x:c r="J82" s="24"/>
      <x:c r="K82" s="24"/>
    </x:row>
    <x:row r="83" ht="25" customHeight="1">
      <x:c r="A83" s="24" t="str">
        <x:v>b1cbeb99-f60c-5c36-8c3b-1b4d4c47ff62</x:v>
      </x:c>
      <x:c r="B83" s="24" t="str">
        <x:v>欧盟委员会</x:v>
      </x:c>
      <x:c r="C83" s="24" t="str">
        <x:v>org</x:v>
      </x:c>
      <x:c r="D83" s="28" t="str">
        <x:v>{"欧盟委员会","European Commission","欧委会"}</x:v>
      </x:c>
      <x:c r="E83" s="24"/>
      <x:c r="F83" s="24"/>
      <x:c r="G83" s="30" t="n">
        <x:v>0</x:v>
      </x:c>
      <x:c r="H83" s="32" t="b">
        <x:v>0</x:v>
      </x:c>
      <x:c r="I83" s="24"/>
      <x:c r="J83" s="24"/>
      <x:c r="K83" s="24"/>
    </x:row>
    <x:row r="84" ht="25" customHeight="1">
      <x:c r="A84" s="24" t="str">
        <x:v>266589d3-bdbb-5e1c-9c88-19cd0875d398</x:v>
      </x:c>
      <x:c r="B84" s="24" t="str">
        <x:v>欧盟理事会</x:v>
      </x:c>
      <x:c r="C84" s="24" t="str">
        <x:v>org</x:v>
      </x:c>
      <x:c r="D84" s="28" t="str">
        <x:v>{"欧盟理事会","Council of the European Union","欧盟部长理事会"}</x:v>
      </x:c>
      <x:c r="E84" s="24"/>
      <x:c r="F84" s="24"/>
      <x:c r="G84" s="30" t="n">
        <x:v>0</x:v>
      </x:c>
      <x:c r="H84" s="32" t="b">
        <x:v>0</x:v>
      </x:c>
      <x:c r="I84" s="24"/>
      <x:c r="J84" s="24"/>
      <x:c r="K84" s="24"/>
    </x:row>
    <x:row r="85" ht="25" customHeight="1">
      <x:c r="A85" s="24" t="str">
        <x:v>2af0d3ee-6464-54de-8699-35fe0cd71d1c</x:v>
      </x:c>
      <x:c r="B85" s="24" t="str">
        <x:v>欧洲对外行动署</x:v>
      </x:c>
      <x:c r="C85" s="24" t="str">
        <x:v>org</x:v>
      </x:c>
      <x:c r="D85" s="28" t="str">
        <x:v>{"欧洲对外行动署","EEAS","European External Action Service"}</x:v>
      </x:c>
      <x:c r="E85" s="24"/>
      <x:c r="F85" s="24"/>
      <x:c r="G85" s="30" t="n">
        <x:v>0</x:v>
      </x:c>
      <x:c r="H85" s="32" t="b">
        <x:v>0</x:v>
      </x:c>
      <x:c r="I85" s="24"/>
      <x:c r="J85" s="24"/>
      <x:c r="K85" s="24"/>
    </x:row>
    <x:row r="86" ht="25" customHeight="1">
      <x:c r="A86" s="24" t="str">
        <x:v>b6d45edd-1663-5894-b36f-1d6dd55467b8</x:v>
      </x:c>
      <x:c r="B86" s="24" t="str">
        <x:v>北约欧洲盟军最高司令部</x:v>
      </x:c>
      <x:c r="C86" s="24" t="str">
        <x:v>org</x:v>
      </x:c>
      <x:c r="D86" s="28" t="str">
        <x:v>{"北约欧洲盟军最高司令部","SHAPE","Supreme Headquarters Allied Powers Europe"}</x:v>
      </x:c>
      <x:c r="E86" s="24"/>
      <x:c r="F86" s="24"/>
      <x:c r="G86" s="30" t="n">
        <x:v>0</x:v>
      </x:c>
      <x:c r="H86" s="32" t="b">
        <x:v>0</x:v>
      </x:c>
      <x:c r="I86" s="24"/>
      <x:c r="J86" s="24"/>
      <x:c r="K86" s="24"/>
    </x:row>
    <x:row r="87" ht="25" customHeight="1">
      <x:c r="A87" s="24" t="str">
        <x:v>27c14688-fe19-5583-a21d-1d1a567ac5b1</x:v>
      </x:c>
      <x:c r="B87" s="24" t="str">
        <x:v>亚历克苏斯·格林克维奇</x:v>
      </x:c>
      <x:c r="C87" s="24" t="str">
        <x:v>person</x:v>
      </x:c>
      <x:c r="D87" s="28" t="str">
        <x:v>{"亚历克苏斯·格林克维奇","Alexus Grynkewich","Alexus G. Grynkewich"}</x:v>
      </x:c>
      <x:c r="E87" s="24"/>
      <x:c r="F87" s="24"/>
      <x:c r="G87" s="30" t="n">
        <x:v>0</x:v>
      </x:c>
      <x:c r="H87" s="32" t="b">
        <x:v>0</x:v>
      </x:c>
      <x:c r="I87" s="24"/>
      <x:c r="J87" s="24"/>
      <x:c r="K87" s="24"/>
    </x:row>
    <x:row r="88" ht="25" customHeight="1">
      <x:c r="A88" s="24" t="str">
        <x:v>271f9832-2953-50f2-a43d-ffc10527cf99</x:v>
      </x:c>
      <x:c r="B88" s="24" t="str">
        <x:v>加里宁格勒</x:v>
      </x:c>
      <x:c r="C88" s="24" t="str">
        <x:v>place</x:v>
      </x:c>
      <x:c r="D88" s="28" t="str">
        <x:v>{"加里宁格勒","Kaliningrad","加里宁格勒州"}</x:v>
      </x:c>
      <x:c r="E88" s="24"/>
      <x:c r="F88" s="24"/>
      <x:c r="G88" s="30" t="n">
        <x:v>0</x:v>
      </x:c>
      <x:c r="H88" s="32" t="b">
        <x:v>0</x:v>
      </x:c>
      <x:c r="I88" s="24"/>
      <x:c r="J88" s="24"/>
      <x:c r="K88" s="24"/>
    </x:row>
    <x:row r="89" ht="25" customHeight="1">
      <x:c r="A89" s="24" t="str">
        <x:v>24d7484e-cc31-52b3-85c4-82ba877417a0</x:v>
      </x:c>
      <x:c r="B89" s="24" t="str">
        <x:v>波罗的海</x:v>
      </x:c>
      <x:c r="C89" s="24" t="str">
        <x:v>place</x:v>
      </x:c>
      <x:c r="D89" s="28" t="str">
        <x:v>{"波罗的海","Baltic Sea","波罗的海海域"}</x:v>
      </x:c>
      <x:c r="E89" s="24"/>
      <x:c r="F89" s="24"/>
      <x:c r="G89" s="30" t="n">
        <x:v>0</x:v>
      </x:c>
      <x:c r="H89" s="32" t="b">
        <x:v>0</x:v>
      </x:c>
      <x:c r="I89" s="24"/>
      <x:c r="J89" s="24"/>
      <x:c r="K89" s="24"/>
    </x:row>
    <x:row r="90" ht="25" customHeight="1">
      <x:c r="A90" s="24" t="str">
        <x:v>62fa3d9f-8286-521c-a9e9-aeade7ea0235</x:v>
      </x:c>
      <x:c r="B90" s="24" t="str">
        <x:v>北溪天然气管道</x:v>
      </x:c>
      <x:c r="C90" s="24" t="str">
        <x:v>asset</x:v>
      </x:c>
      <x:c r="D90" s="28" t="str">
        <x:v>{"北溪天然气管道","Nord Stream","北溪管道"}</x:v>
      </x:c>
      <x:c r="E90" s="24"/>
      <x:c r="F90" s="24"/>
      <x:c r="G90" s="30" t="n">
        <x:v>0</x:v>
      </x:c>
      <x:c r="H90" s="32" t="b">
        <x:v>0</x:v>
      </x:c>
      <x:c r="I90" s="24"/>
      <x:c r="J90" s="24"/>
      <x:c r="K90" s="24"/>
    </x:row>
    <x:row r="91" ht="25" customHeight="1">
      <x:c r="A91" s="24" t="str">
        <x:v>1bec7c9a-805e-5a7d-8885-c9db824df3f8</x:v>
      </x:c>
      <x:c r="B91" s="24" t="str">
        <x:v>中国人民解放军东部战区</x:v>
      </x:c>
      <x:c r="C91" s="24" t="str">
        <x:v>org</x:v>
      </x:c>
      <x:c r="D91" s="28" t="str">
        <x:v>{"中国人民解放军东部战区","PLA Eastern Theater Command","东部战区"}</x:v>
      </x:c>
      <x:c r="E91" s="24"/>
      <x:c r="F91" s="24"/>
      <x:c r="G91" s="30" t="n">
        <x:v>0</x:v>
      </x:c>
      <x:c r="H91" s="32" t="b">
        <x:v>0</x:v>
      </x:c>
      <x:c r="I91" s="24"/>
      <x:c r="J91" s="24"/>
      <x:c r="K91" s="24"/>
    </x:row>
    <x:row r="92" ht="25" customHeight="1">
      <x:c r="A92" s="24" t="str">
        <x:v>295e5417-c365-56e5-8e05-551b1938fd37</x:v>
      </x:c>
      <x:c r="B92" s="24" t="str">
        <x:v>中国海警局</x:v>
      </x:c>
      <x:c r="C92" s="24" t="str">
        <x:v>org</x:v>
      </x:c>
      <x:c r="D92" s="28" t="str">
        <x:v>{"中国海警局","China Coast Guard","中国海警","CCG"}</x:v>
      </x:c>
      <x:c r="E92" s="24"/>
      <x:c r="F92" s="24"/>
      <x:c r="G92" s="30" t="n">
        <x:v>0</x:v>
      </x:c>
      <x:c r="H92" s="32" t="b">
        <x:v>0</x:v>
      </x:c>
      <x:c r="I92" s="24"/>
      <x:c r="J92" s="24"/>
      <x:c r="K92" s="24"/>
    </x:row>
    <x:row r="93" ht="25" customHeight="1">
      <x:c r="A93" s="24" t="str">
        <x:v>d32a93aa-a3ce-5972-ae03-eafbcc2617b4</x:v>
      </x:c>
      <x:c r="B93" s="24" t="str">
        <x:v>台湾海巡署</x:v>
      </x:c>
      <x:c r="C93" s="24" t="str">
        <x:v>org</x:v>
      </x:c>
      <x:c r="D93" s="28" t="str">
        <x:v>{"台湾海巡署","Taiwan Coast Guard Administration","海巡署","CGA"}</x:v>
      </x:c>
      <x:c r="E93" s="24"/>
      <x:c r="F93" s="24"/>
      <x:c r="G93" s="30" t="n">
        <x:v>0</x:v>
      </x:c>
      <x:c r="H93" s="32" t="b">
        <x:v>0</x:v>
      </x:c>
      <x:c r="I93" s="24"/>
      <x:c r="J93" s="24"/>
      <x:c r="K93" s="24"/>
    </x:row>
    <x:row r="94" ht="25" customHeight="1">
      <x:c r="A94" s="24" t="str">
        <x:v>9ef38dda-dfff-52cf-a510-84eb3aec7e8e</x:v>
      </x:c>
      <x:c r="B94" s="24" t="str">
        <x:v>台湾海峡</x:v>
      </x:c>
      <x:c r="C94" s="24" t="str">
        <x:v>place</x:v>
      </x:c>
      <x:c r="D94" s="28" t="str">
        <x:v>{"台湾海峡","Taiwan Strait","台海"}</x:v>
      </x:c>
      <x:c r="E94" s="24"/>
      <x:c r="F94" s="24"/>
      <x:c r="G94" s="30" t="n">
        <x:v>0</x:v>
      </x:c>
      <x:c r="H94" s="32" t="b">
        <x:v>0</x:v>
      </x:c>
      <x:c r="I94" s="24"/>
      <x:c r="J94" s="24"/>
      <x:c r="K94" s="24"/>
    </x:row>
    <x:row r="95" ht="25" customHeight="1">
      <x:c r="A95" s="24" t="str">
        <x:v>a196a4a3-893a-5259-a9b4-129a5217698f</x:v>
      </x:c>
      <x:c r="B95" s="24" t="str">
        <x:v>台湾东部海域</x:v>
      </x:c>
      <x:c r="C95" s="24" t="str">
        <x:v>place</x:v>
      </x:c>
      <x:c r="D95" s="28" t="str">
        <x:v>{"台湾东部海域","Waters east of Taiwan","台湾东部外海"}</x:v>
      </x:c>
      <x:c r="E95" s="24"/>
      <x:c r="F95" s="24"/>
      <x:c r="G95" s="30" t="n">
        <x:v>0</x:v>
      </x:c>
      <x:c r="H95" s="32" t="b">
        <x:v>0</x:v>
      </x:c>
      <x:c r="I95" s="24"/>
      <x:c r="J95" s="24"/>
      <x:c r="K95" s="24"/>
    </x:row>
    <x:row r="96" ht="25" customHeight="1">
      <x:c r="A96" s="24" t="str">
        <x:v>0742c5d2-6e80-50de-b6e6-e0453f8b051b</x:v>
      </x:c>
      <x:c r="B96" s="24" t="str">
        <x:v>巴士海峡</x:v>
      </x:c>
      <x:c r="C96" s="24" t="str">
        <x:v>place</x:v>
      </x:c>
      <x:c r="D96" s="28" t="str">
        <x:v>{"巴士海峡","Bashi Channel"}</x:v>
      </x:c>
      <x:c r="E96" s="24"/>
      <x:c r="F96" s="24"/>
      <x:c r="G96" s="30" t="n">
        <x:v>0</x:v>
      </x:c>
      <x:c r="H96" s="32" t="b">
        <x:v>0</x:v>
      </x:c>
      <x:c r="I96" s="24"/>
      <x:c r="J96" s="24"/>
      <x:c r="K96" s="24"/>
    </x:row>
    <x:row r="97" ht="25" customHeight="1">
      <x:c r="A97" s="24" t="str">
        <x:v>f923a88b-fa17-5c5e-8ba0-9994addddc22</x:v>
      </x:c>
      <x:c r="B97" s="24" t="str">
        <x:v>第一岛链</x:v>
      </x:c>
      <x:c r="C97" s="24" t="str">
        <x:v>concept</x:v>
      </x:c>
      <x:c r="D97" s="28" t="str">
        <x:v>{"第一岛链","First Island Chain","第一岛链地理概念"}</x:v>
      </x:c>
      <x:c r="E97" s="24"/>
      <x:c r="F97" s="24"/>
      <x:c r="G97" s="30" t="n">
        <x:v>0</x:v>
      </x:c>
      <x:c r="H97" s="32" t="b">
        <x:v>0</x:v>
      </x:c>
      <x:c r="I97" s="24"/>
      <x:c r="J97" s="24"/>
      <x:c r="K97" s="24"/>
    </x:row>
    <x:row r="98" ht="25" customHeight="1">
      <x:c r="A98" s="24" t="str">
        <x:v>e55c96a2-ceaf-5aa7-8267-98f144e330d4</x:v>
      </x:c>
      <x:c r="B98" s="24" t="str">
        <x:v>菲律宾海</x:v>
      </x:c>
      <x:c r="C98" s="24" t="str">
        <x:v>place</x:v>
      </x:c>
      <x:c r="D98" s="28" t="str">
        <x:v>{"菲律宾海","Philippine Sea"}</x:v>
      </x:c>
      <x:c r="E98" s="24"/>
      <x:c r="F98" s="24"/>
      <x:c r="G98" s="30" t="n">
        <x:v>0</x:v>
      </x:c>
      <x:c r="H98" s="32" t="b">
        <x:v>0</x:v>
      </x:c>
      <x:c r="I98" s="24"/>
      <x:c r="J98" s="24"/>
      <x:c r="K98" s="24"/>
    </x:row>
    <x:row r="99" ht="25" customHeight="1">
      <x:c r="A99" s="24" t="str">
        <x:v>7e410ace-03af-5473-8ec7-5c0f5f2a9815</x:v>
      </x:c>
      <x:c r="B99" s="24" t="str">
        <x:v>台湾国防部</x:v>
      </x:c>
      <x:c r="C99" s="24" t="str">
        <x:v>org</x:v>
      </x:c>
      <x:c r="D99" s="28" t="str">
        <x:v>{"台湾国防部","Taiwan Ministry of National Defense","台湾防务部门"}</x:v>
      </x:c>
      <x:c r="E99" s="24"/>
      <x:c r="F99" s="24"/>
      <x:c r="G99" s="30" t="n">
        <x:v>0</x:v>
      </x:c>
      <x:c r="H99" s="32" t="b">
        <x:v>0</x:v>
      </x:c>
      <x:c r="I99" s="24"/>
      <x:c r="J99" s="24"/>
      <x:c r="K99" s="24"/>
    </x:row>
    <x:row r="100" ht="25" customHeight="1">
      <x:c r="A100" s="24" t="str">
        <x:v>5fa40ac5-373a-5970-bfcf-92c1e8b89c3c</x:v>
      </x:c>
      <x:c r="B100" s="24" t="str">
        <x:v>美国国务院</x:v>
      </x:c>
      <x:c r="C100" s="24" t="str">
        <x:v>org</x:v>
      </x:c>
      <x:c r="D100" s="28" t="str">
        <x:v>{"美国国务院","US State Department","U.S. Department of State"}</x:v>
      </x:c>
      <x:c r="E100" s="24"/>
      <x:c r="F100" s="24"/>
      <x:c r="G100" s="30" t="n">
        <x:v>0</x:v>
      </x:c>
      <x:c r="H100" s="32" t="b">
        <x:v>0</x:v>
      </x:c>
      <x:c r="I100" s="24"/>
      <x:c r="J100" s="24"/>
      <x:c r="K100" s="24"/>
    </x:row>
    <x:row r="101" ht="25" customHeight="1">
      <x:c r="A101" s="24" t="str">
        <x:v>2c7d7b5b-845f-5c2a-ab97-8ac13b9c6a90</x:v>
      </x:c>
      <x:c r="B101" s="24" t="str">
        <x:v>菲律宾海岸警卫队</x:v>
      </x:c>
      <x:c r="C101" s="24" t="str">
        <x:v>org</x:v>
      </x:c>
      <x:c r="D101" s="28" t="str">
        <x:v>{"菲律宾海岸警卫队","Philippine Coast Guard","PCG","菲律宾海警"}</x:v>
      </x:c>
      <x:c r="E101" s="24"/>
      <x:c r="F101" s="24"/>
      <x:c r="G101" s="30" t="n">
        <x:v>0</x:v>
      </x:c>
      <x:c r="H101" s="32" t="b">
        <x:v>0</x:v>
      </x:c>
      <x:c r="I101" s="24"/>
      <x:c r="J101" s="24"/>
      <x:c r="K101" s="24"/>
    </x:row>
    <x:row r="102" ht="25" customHeight="1">
      <x:c r="A102" s="24" t="str">
        <x:v>0b9f3020-7f08-5b39-be0c-247f650102fa</x:v>
      </x:c>
      <x:c r="B102" s="24" t="str">
        <x:v>菲律宾国防部</x:v>
      </x:c>
      <x:c r="C102" s="24" t="str">
        <x:v>org</x:v>
      </x:c>
      <x:c r="D102" s="28" t="str">
        <x:v>{"菲律宾国防部","Department of National Defense Philippines","菲律宾防长办公室"}</x:v>
      </x:c>
      <x:c r="E102" s="24"/>
      <x:c r="F102" s="24"/>
      <x:c r="G102" s="30" t="n">
        <x:v>0</x:v>
      </x:c>
      <x:c r="H102" s="32" t="b">
        <x:v>0</x:v>
      </x:c>
      <x:c r="I102" s="24"/>
      <x:c r="J102" s="24"/>
      <x:c r="K102" s="24"/>
    </x:row>
    <x:row r="103" ht="25" customHeight="1">
      <x:c r="A103" s="24" t="str">
        <x:v>fe430d09-b815-57ac-a4ac-3907e6fcd9fc</x:v>
      </x:c>
      <x:c r="B103" s="24" t="str">
        <x:v>巴丹群岛</x:v>
      </x:c>
      <x:c r="C103" s="24" t="str">
        <x:v>place</x:v>
      </x:c>
      <x:c r="D103" s="28" t="str">
        <x:v>{"巴丹群岛","Batanes","巴丹省","巴丹群岛省"}</x:v>
      </x:c>
      <x:c r="E103" s="24"/>
      <x:c r="F103" s="24"/>
      <x:c r="G103" s="30" t="n">
        <x:v>0</x:v>
      </x:c>
      <x:c r="H103" s="32" t="b">
        <x:v>0</x:v>
      </x:c>
      <x:c r="I103" s="24"/>
      <x:c r="J103" s="24"/>
      <x:c r="K103" s="24"/>
    </x:row>
    <x:row r="104" ht="25" customHeight="1">
      <x:c r="A104" s="24" t="str">
        <x:v>d7762aad-33ff-5ee9-b40c-13db66fb4f4f</x:v>
      </x:c>
      <x:c r="B104" s="24" t="str">
        <x:v>南海</x:v>
      </x:c>
      <x:c r="C104" s="24" t="str">
        <x:v>place</x:v>
      </x:c>
      <x:c r="D104" s="28" t="str">
        <x:v>{"南海","South China Sea","南中国海"}</x:v>
      </x:c>
      <x:c r="E104" s="24"/>
      <x:c r="F104" s="24"/>
      <x:c r="G104" s="30" t="n">
        <x:v>0</x:v>
      </x:c>
      <x:c r="H104" s="32" t="b">
        <x:v>0</x:v>
      </x:c>
      <x:c r="I104" s="24"/>
      <x:c r="J104" s="24"/>
      <x:c r="K104" s="24"/>
    </x:row>
    <x:row r="105" ht="25" customHeight="1">
      <x:c r="A105" s="24" t="str">
        <x:v>eb893f83-a10c-5822-bd58-9fa5d34ad5d1</x:v>
      </x:c>
      <x:c r="B105" s="24" t="str">
        <x:v>仁爱礁</x:v>
      </x:c>
      <x:c r="C105" s="24" t="str">
        <x:v>place</x:v>
      </x:c>
      <x:c r="D105" s="28" t="str">
        <x:v>{"仁爱礁","Second Thomas Shoal","Ayungin Shoal","阿云金浅滩"}</x:v>
      </x:c>
      <x:c r="E105" s="24"/>
      <x:c r="F105" s="24"/>
      <x:c r="G105" s="30" t="n">
        <x:v>0</x:v>
      </x:c>
      <x:c r="H105" s="32" t="b">
        <x:v>0</x:v>
      </x:c>
      <x:c r="I105" s="24"/>
      <x:c r="J105" s="24"/>
      <x:c r="K105" s="24"/>
    </x:row>
    <x:row r="106" ht="25" customHeight="1">
      <x:c r="A106" s="24" t="str">
        <x:v>e45d5f2f-3e82-5d61-aa83-961a97e2ca74</x:v>
      </x:c>
      <x:c r="B106" s="24" t="str">
        <x:v>黄岩岛</x:v>
      </x:c>
      <x:c r="C106" s="24" t="str">
        <x:v>place</x:v>
      </x:c>
      <x:c r="D106" s="28" t="str">
        <x:v>{"黄岩岛","Scarborough Shoal","Bajo de Masinloc"}</x:v>
      </x:c>
      <x:c r="E106" s="24"/>
      <x:c r="F106" s="24"/>
      <x:c r="G106" s="30" t="n">
        <x:v>0</x:v>
      </x:c>
      <x:c r="H106" s="32" t="b">
        <x:v>0</x:v>
      </x:c>
      <x:c r="I106" s="24"/>
      <x:c r="J106" s="24"/>
      <x:c r="K106" s="24"/>
    </x:row>
    <x:row r="107" ht="25" customHeight="1">
      <x:c r="A107" s="24" t="str">
        <x:v>96d35b07-05fa-5346-9ad7-45e728bad5ed</x:v>
      </x:c>
      <x:c r="B107" s="24" t="str">
        <x:v>美国商务部</x:v>
      </x:c>
      <x:c r="C107" s="24" t="str">
        <x:v>org</x:v>
      </x:c>
      <x:c r="D107" s="28" t="str">
        <x:v>{"美国商务部","U.S. Department of Commerce","US Commerce Department"}</x:v>
      </x:c>
      <x:c r="E107" s="24"/>
      <x:c r="F107" s="24"/>
      <x:c r="G107" s="30" t="n">
        <x:v>0</x:v>
      </x:c>
      <x:c r="H107" s="32" t="b">
        <x:v>0</x:v>
      </x:c>
      <x:c r="I107" s="24"/>
      <x:c r="J107" s="24"/>
      <x:c r="K107" s="24"/>
    </x:row>
    <x:row r="108" ht="25" customHeight="1">
      <x:c r="A108" s="24" t="str">
        <x:v>26a003fd-6a8d-55c0-aaeb-7682aa24a90b</x:v>
      </x:c>
      <x:c r="B108" s="24" t="str">
        <x:v>美国工业和安全局</x:v>
      </x:c>
      <x:c r="C108" s="24" t="str">
        <x:v>org</x:v>
      </x:c>
      <x:c r="D108" s="28" t="str">
        <x:v>{"美国工业和安全局","BIS","Bureau of Industry and Security"}</x:v>
      </x:c>
      <x:c r="E108" s="24"/>
      <x:c r="F108" s="24"/>
      <x:c r="G108" s="30" t="n">
        <x:v>0</x:v>
      </x:c>
      <x:c r="H108" s="32" t="b">
        <x:v>0</x:v>
      </x:c>
      <x:c r="I108" s="24"/>
      <x:c r="J108" s="24"/>
      <x:c r="K108" s="24"/>
    </x:row>
    <x:row r="109" ht="25" customHeight="1">
      <x:c r="A109" s="24" t="str">
        <x:v>a80cff9d-67cd-52a2-bd69-da32a987b8a4</x:v>
      </x:c>
      <x:c r="B109" s="24" t="str">
        <x:v>中国商务部</x:v>
      </x:c>
      <x:c r="C109" s="24" t="str">
        <x:v>org</x:v>
      </x:c>
      <x:c r="D109" s="28" t="str">
        <x:v>{"中国商务部","MOFCOM","中华人民共和国商务部"}</x:v>
      </x:c>
      <x:c r="E109" s="24"/>
      <x:c r="F109" s="24"/>
      <x:c r="G109" s="30" t="n">
        <x:v>0</x:v>
      </x:c>
      <x:c r="H109" s="32" t="b">
        <x:v>0</x:v>
      </x:c>
      <x:c r="I109" s="24"/>
      <x:c r="J109" s="24"/>
      <x:c r="K109" s="24"/>
    </x:row>
    <x:row r="110" ht="25" customHeight="1">
      <x:c r="A110" s="24" t="str">
        <x:v>748ad463-0448-5a64-ba55-85e45c0dec87</x:v>
      </x:c>
      <x:c r="B110" s="24" t="str">
        <x:v>美国贸易代表办公室</x:v>
      </x:c>
      <x:c r="C110" s="24" t="str">
        <x:v>org</x:v>
      </x:c>
      <x:c r="D110" s="28" t="str">
        <x:v>{"美国贸易代表办公室","USTR","Office of the United States Trade Representative"}</x:v>
      </x:c>
      <x:c r="E110" s="24"/>
      <x:c r="F110" s="24"/>
      <x:c r="G110" s="30" t="n">
        <x:v>0</x:v>
      </x:c>
      <x:c r="H110" s="32" t="b">
        <x:v>0</x:v>
      </x:c>
      <x:c r="I110" s="24"/>
      <x:c r="J110" s="24"/>
      <x:c r="K110" s="24"/>
    </x:row>
    <x:row r="111" ht="25" customHeight="1">
      <x:c r="A111" s="24" t="str">
        <x:v>9ea3d722-e07e-5914-b86e-468c2c1cfea1</x:v>
      </x:c>
      <x:c r="B111" s="24" t="str">
        <x:v>世界贸易组织</x:v>
      </x:c>
      <x:c r="C111" s="24" t="str">
        <x:v>org</x:v>
      </x:c>
      <x:c r="D111" s="28" t="str">
        <x:v>{"世界贸易组织","WTO","World Trade Organization","世贸组织"}</x:v>
      </x:c>
      <x:c r="E111" s="24"/>
      <x:c r="F111" s="24"/>
      <x:c r="G111" s="30" t="n">
        <x:v>0</x:v>
      </x:c>
      <x:c r="H111" s="32" t="b">
        <x:v>0</x:v>
      </x:c>
      <x:c r="I111" s="24"/>
      <x:c r="J111" s="24"/>
      <x:c r="K111" s="24"/>
    </x:row>
    <x:row r="112" ht="25" customHeight="1">
      <x:c r="A112" s="24" t="str">
        <x:v>7f74e2db-322a-565f-a932-7fa8142630fb</x:v>
      </x:c>
      <x:c r="B112" s="24" t="str">
        <x:v>空中客车</x:v>
      </x:c>
      <x:c r="C112" s="24" t="str">
        <x:v>org</x:v>
      </x:c>
      <x:c r="D112" s="28" t="str">
        <x:v>{"空中客车","Airbus","空客"}</x:v>
      </x:c>
      <x:c r="E112" s="24"/>
      <x:c r="F112" s="24"/>
      <x:c r="G112" s="30" t="n">
        <x:v>0</x:v>
      </x:c>
      <x:c r="H112" s="32" t="b">
        <x:v>0</x:v>
      </x:c>
      <x:c r="I112" s="24"/>
      <x:c r="J112" s="24"/>
      <x:c r="K112" s="24"/>
    </x:row>
    <x:row r="113" ht="25" customHeight="1">
      <x:c r="A113" s="24" t="str">
        <x:v>4c1d0285-2fc3-54c4-a0f3-01fde6a8f0da</x:v>
      </x:c>
      <x:c r="B113" s="24" t="str">
        <x:v>波音</x:v>
      </x:c>
      <x:c r="C113" s="24" t="str">
        <x:v>org</x:v>
      </x:c>
      <x:c r="D113" s="28" t="str">
        <x:v>{"波音","Boeing","波音公司"}</x:v>
      </x:c>
      <x:c r="E113" s="24"/>
      <x:c r="F113" s="24"/>
      <x:c r="G113" s="30" t="n">
        <x:v>0</x:v>
      </x:c>
      <x:c r="H113" s="32" t="b">
        <x:v>0</x:v>
      </x:c>
      <x:c r="I113" s="24"/>
      <x:c r="J113" s="24"/>
      <x:c r="K113" s="24"/>
    </x:row>
    <x:row r="114" ht="25" customHeight="1">
      <x:c r="A114" s="24" t="str">
        <x:v>f5664431-f168-5542-9475-0cd917884c88</x:v>
      </x:c>
      <x:c r="B114" s="24" t="str">
        <x:v>通用电气航空航天</x:v>
      </x:c>
      <x:c r="C114" s="24" t="str">
        <x:v>org</x:v>
      </x:c>
      <x:c r="D114" s="28" t="str">
        <x:v>{"通用电气航空航天","GE Aerospace","GE航空航天"}</x:v>
      </x:c>
      <x:c r="E114" s="24"/>
      <x:c r="F114" s="24"/>
      <x:c r="G114" s="30" t="n">
        <x:v>0</x:v>
      </x:c>
      <x:c r="H114" s="32" t="b">
        <x:v>0</x:v>
      </x:c>
      <x:c r="I114" s="24"/>
      <x:c r="J114" s="24"/>
      <x:c r="K114" s="24"/>
    </x:row>
    <x:row r="115" ht="25" customHeight="1">
      <x:c r="A115" s="24" t="str">
        <x:v>1a91ba4e-ad2d-5806-b515-561578c69fb8</x:v>
      </x:c>
      <x:c r="B115" s="24" t="str">
        <x:v>中国商用飞机</x:v>
      </x:c>
      <x:c r="C115" s="24" t="str">
        <x:v>org</x:v>
      </x:c>
      <x:c r="D115" s="28" t="str">
        <x:v>{"中国商用飞机","中国商用飞机有限责任公司","COMAC","中国商飞","商飞"}</x:v>
      </x:c>
      <x:c r="E115" s="24"/>
      <x:c r="F115" s="24"/>
      <x:c r="G115" s="30" t="n">
        <x:v>0</x:v>
      </x:c>
      <x:c r="H115" s="32" t="b">
        <x:v>0</x:v>
      </x:c>
      <x:c r="I115" s="24"/>
      <x:c r="J115" s="24"/>
      <x:c r="K115" s="24"/>
    </x:row>
    <x:row r="116" ht="25" customHeight="1">
      <x:c r="A116" s="24" t="str">
        <x:v>57008b00-1a2b-5894-a0ed-8c6b93669524</x:v>
      </x:c>
      <x:c r="B116" s="24" t="str">
        <x:v>唐纳德·特朗普</x:v>
      </x:c>
      <x:c r="C116" s="24" t="str">
        <x:v>person</x:v>
      </x:c>
      <x:c r="D116" s="28" t="str">
        <x:v>{"唐纳德·特朗普","Donald Trump","特朗普"}</x:v>
      </x:c>
      <x:c r="E116" s="24"/>
      <x:c r="F116" s="24"/>
      <x:c r="G116" s="30" t="n">
        <x:v>0</x:v>
      </x:c>
      <x:c r="H116" s="32" t="b">
        <x:v>0</x:v>
      </x:c>
      <x:c r="I116" s="24"/>
      <x:c r="J116" s="24"/>
      <x:c r="K116" s="24"/>
    </x:row>
    <x:row r="117" ht="25" customHeight="1">
      <x:c r="A117" s="24" t="str">
        <x:v>dc5bc1ae-4cfe-5420-84d2-91a13d9319ee</x:v>
      </x:c>
      <x:c r="B117" s="24" t="str">
        <x:v>习近平</x:v>
      </x:c>
      <x:c r="C117" s="24" t="str">
        <x:v>person</x:v>
      </x:c>
      <x:c r="D117" s="28" t="str">
        <x:v>{"习近平","Xi Jinping","中国国家主席习近平"}</x:v>
      </x:c>
      <x:c r="E117" s="24"/>
      <x:c r="F117" s="24"/>
      <x:c r="G117" s="30" t="n">
        <x:v>0</x:v>
      </x:c>
      <x:c r="H117" s="32" t="b">
        <x:v>0</x:v>
      </x:c>
      <x:c r="I117" s="24"/>
      <x:c r="J117" s="24"/>
      <x:c r="K117" s="24"/>
    </x:row>
    <x:row r="118" ht="25" customHeight="1">
      <x:c r="A118" s="24" t="str">
        <x:v>6e90e2a9-c25e-55df-a6aa-b7b8c31600a0</x:v>
      </x:c>
      <x:c r="B118" s="24" t="str">
        <x:v>关税豁免</x:v>
      </x:c>
      <x:c r="C118" s="24" t="str">
        <x:v>concept</x:v>
      </x:c>
      <x:c r="D118" s="28" t="str">
        <x:v>{"关税豁免","Tariff Exemption","关税减免豁免"}</x:v>
      </x:c>
      <x:c r="E118" s="24"/>
      <x:c r="F118" s="24"/>
      <x:c r="G118" s="30" t="n">
        <x:v>0</x:v>
      </x:c>
      <x:c r="H118" s="32" t="b">
        <x:v>0</x:v>
      </x:c>
      <x:c r="I118" s="24"/>
      <x:c r="J118" s="24"/>
      <x:c r="K118" s="24"/>
    </x:row>
    <x:row r="119" ht="25" customHeight="1">
      <x:c r="A119" s="24" t="str">
        <x:v>5308beeb-58a8-5459-8a04-1f118b76b8f2</x:v>
      </x:c>
      <x:c r="B119" s="24" t="str">
        <x:v>欧盟贸易总司</x:v>
      </x:c>
      <x:c r="C119" s="24" t="str">
        <x:v>org</x:v>
      </x:c>
      <x:c r="D119" s="28" t="str">
        <x:v>{"欧盟贸易总司","DG TRADE","Directorate-General for Trade"}</x:v>
      </x:c>
      <x:c r="E119" s="24"/>
      <x:c r="F119" s="24"/>
      <x:c r="G119" s="30" t="n">
        <x:v>0</x:v>
      </x:c>
      <x:c r="H119" s="32" t="b">
        <x:v>0</x:v>
      </x:c>
      <x:c r="I119" s="24"/>
      <x:c r="J119" s="24"/>
      <x:c r="K119" s="24"/>
    </x:row>
    <x:row r="120" ht="25" customHeight="1">
      <x:c r="A120" s="24" t="str">
        <x:v>83ee1468-b0af-53b7-8b4b-e4013a264f79</x:v>
      </x:c>
      <x:c r="B120" s="24" t="str">
        <x:v>欧洲汽车制造商协会</x:v>
      </x:c>
      <x:c r="C120" s="24" t="str">
        <x:v>org</x:v>
      </x:c>
      <x:c r="D120" s="28" t="str">
        <x:v>{"欧洲汽车制造商协会","ACEA","European Automobile Manufacturers Association"}</x:v>
      </x:c>
      <x:c r="E120" s="24"/>
      <x:c r="F120" s="24"/>
      <x:c r="G120" s="30" t="n">
        <x:v>0</x:v>
      </x:c>
      <x:c r="H120" s="32" t="b">
        <x:v>0</x:v>
      </x:c>
      <x:c r="I120" s="24"/>
      <x:c r="J120" s="24"/>
      <x:c r="K120" s="24"/>
    </x:row>
    <x:row r="121" ht="25" customHeight="1">
      <x:c r="A121" s="24" t="str">
        <x:v>9df21599-84cf-5f9f-b114-41eb47bd0239</x:v>
      </x:c>
      <x:c r="B121" s="24" t="str">
        <x:v>中国汽车工业协会</x:v>
      </x:c>
      <x:c r="C121" s="24" t="str">
        <x:v>org</x:v>
      </x:c>
      <x:c r="D121" s="28" t="str">
        <x:v>{"中国汽车工业协会","CAAM","中国汽协"}</x:v>
      </x:c>
      <x:c r="E121" s="24"/>
      <x:c r="F121" s="24"/>
      <x:c r="G121" s="30" t="n">
        <x:v>0</x:v>
      </x:c>
      <x:c r="H121" s="32" t="b">
        <x:v>0</x:v>
      </x:c>
      <x:c r="I121" s="24"/>
      <x:c r="J121" s="24"/>
      <x:c r="K121" s="24"/>
    </x:row>
    <x:row r="122" ht="25" customHeight="1">
      <x:c r="A122" s="24" t="str">
        <x:v>d9a15efa-2414-5b7d-a46e-4e3ad555de6f</x:v>
      </x:c>
      <x:c r="B122" s="24" t="str">
        <x:v>比亚迪</x:v>
      </x:c>
      <x:c r="C122" s="24" t="str">
        <x:v>org</x:v>
      </x:c>
      <x:c r="D122" s="28" t="str">
        <x:v>{"比亚迪","BYD","比亚迪股份"}</x:v>
      </x:c>
      <x:c r="E122" s="24"/>
      <x:c r="F122" s="24"/>
      <x:c r="G122" s="30" t="n">
        <x:v>0</x:v>
      </x:c>
      <x:c r="H122" s="32" t="b">
        <x:v>0</x:v>
      </x:c>
      <x:c r="I122" s="24"/>
      <x:c r="J122" s="24"/>
      <x:c r="K122" s="24"/>
    </x:row>
    <x:row r="123" ht="25" customHeight="1">
      <x:c r="A123" s="24" t="str">
        <x:v>939f4f82-26a2-5d4e-aec4-794413cefe4e</x:v>
      </x:c>
      <x:c r="B123" s="24" t="str">
        <x:v>吉利汽车</x:v>
      </x:c>
      <x:c r="C123" s="24" t="str">
        <x:v>org</x:v>
      </x:c>
      <x:c r="D123" s="28" t="str">
        <x:v>{"吉利汽车","Geely Auto","吉利","吉利控股旗下汽车业务"}</x:v>
      </x:c>
      <x:c r="E123" s="24"/>
      <x:c r="F123" s="24"/>
      <x:c r="G123" s="30" t="n">
        <x:v>0</x:v>
      </x:c>
      <x:c r="H123" s="32" t="b">
        <x:v>0</x:v>
      </x:c>
      <x:c r="I123" s="24"/>
      <x:c r="J123" s="24"/>
      <x:c r="K123" s="24"/>
    </x:row>
    <x:row r="124" ht="25" customHeight="1">
      <x:c r="A124" s="24" t="str">
        <x:v>1ef4da71-dfae-5c73-a0e7-e6ad8c295b0e</x:v>
      </x:c>
      <x:c r="B124" s="24" t="str">
        <x:v>大众汽车</x:v>
      </x:c>
      <x:c r="C124" s="24" t="str">
        <x:v>org</x:v>
      </x:c>
      <x:c r="D124" s="28" t="str">
        <x:v>{"大众汽车","大众汽车集团","Volkswagen Group","VW Group","大众集团"}</x:v>
      </x:c>
      <x:c r="E124" s="24"/>
      <x:c r="F124" s="24"/>
      <x:c r="G124" s="30" t="n">
        <x:v>0</x:v>
      </x:c>
      <x:c r="H124" s="32" t="b">
        <x:v>0</x:v>
      </x:c>
      <x:c r="I124" s="24"/>
      <x:c r="J124" s="24"/>
      <x:c r="K124" s="24"/>
    </x:row>
    <x:row r="125" ht="25" customHeight="1">
      <x:c r="A125" s="24" t="str">
        <x:v>9fe753fc-37e1-5ba5-b8a3-8b7e4ad53b63</x:v>
      </x:c>
      <x:c r="B125" s="24" t="str">
        <x:v>宝马</x:v>
      </x:c>
      <x:c r="C125" s="24" t="str">
        <x:v>org</x:v>
      </x:c>
      <x:c r="D125" s="28" t="str">
        <x:v>{"宝马","宝马集团","BMW Group","BMW"}</x:v>
      </x:c>
      <x:c r="E125" s="24"/>
      <x:c r="F125" s="24"/>
      <x:c r="G125" s="30" t="n">
        <x:v>0</x:v>
      </x:c>
      <x:c r="H125" s="32" t="b">
        <x:v>0</x:v>
      </x:c>
      <x:c r="I125" s="24"/>
      <x:c r="J125" s="24"/>
      <x:c r="K125" s="24"/>
    </x:row>
    <x:row r="126" ht="25" customHeight="1">
      <x:c r="A126" s="24" t="str">
        <x:v>fcf74e08-ea40-5d89-95aa-4a2621a3a62b</x:v>
      </x:c>
      <x:c r="B126" s="24" t="str">
        <x:v>欧盟电动车反补贴调查</x:v>
      </x:c>
      <x:c r="C126" s="24" t="str">
        <x:v>concept</x:v>
      </x:c>
      <x:c r="D126" s="28" t="str">
        <x:v>{"欧盟电动车反补贴调查","EU EV anti-subsidy measures","欧盟电动汽车反补贴"}</x:v>
      </x:c>
      <x:c r="E126" s="24"/>
      <x:c r="F126" s="24"/>
      <x:c r="G126" s="30" t="n">
        <x:v>0</x:v>
      </x:c>
      <x:c r="H126" s="32" t="b">
        <x:v>0</x:v>
      </x:c>
      <x:c r="I126" s="24"/>
      <x:c r="J126" s="24"/>
      <x:c r="K126" s="24"/>
    </x:row>
    <x:row r="127" ht="25" customHeight="1">
      <x:c r="A127" s="24" t="str">
        <x:v>32a4b8ad-cabe-5029-bed6-329662392f36</x:v>
      </x:c>
      <x:c r="B127" s="24" t="str">
        <x:v>稀土永磁体</x:v>
      </x:c>
      <x:c r="C127" s="24" t="str">
        <x:v>commodity</x:v>
      </x:c>
      <x:c r="D127" s="28" t="str">
        <x:v>{"稀土永磁体","Rare Earth Permanent Magnets","钕铁硼磁体","稀土磁体"}</x:v>
      </x:c>
      <x:c r="E127" s="24"/>
      <x:c r="F127" s="24"/>
      <x:c r="G127" s="30" t="n">
        <x:v>0</x:v>
      </x:c>
      <x:c r="H127" s="32" t="b">
        <x:v>0</x:v>
      </x:c>
      <x:c r="I127" s="24"/>
      <x:c r="J127" s="24"/>
      <x:c r="K127" s="24"/>
    </x:row>
    <x:row r="128" ht="25" customHeight="1">
      <x:c r="A128" s="24" t="str">
        <x:v>3a690917-cae7-5c31-980c-814e79a0a797</x:v>
      </x:c>
      <x:c r="B128" s="24" t="str">
        <x:v>钕</x:v>
      </x:c>
      <x:c r="C128" s="24" t="str">
        <x:v>commodity</x:v>
      </x:c>
      <x:c r="D128" s="28" t="str">
        <x:v>{"钕","Neodymium","Nd","钕元素"}</x:v>
      </x:c>
      <x:c r="E128" s="24"/>
      <x:c r="F128" s="24"/>
      <x:c r="G128" s="30" t="n">
        <x:v>0</x:v>
      </x:c>
      <x:c r="H128" s="32" t="b">
        <x:v>0</x:v>
      </x:c>
      <x:c r="I128" s="24"/>
      <x:c r="J128" s="24"/>
      <x:c r="K128" s="24"/>
    </x:row>
    <x:row r="129" ht="25" customHeight="1">
      <x:c r="A129" s="24" t="str">
        <x:v>98ac4b33-e61b-5be7-91b7-ea401aabd714</x:v>
      </x:c>
      <x:c r="B129" s="24" t="str">
        <x:v>镝</x:v>
      </x:c>
      <x:c r="C129" s="24" t="str">
        <x:v>commodity</x:v>
      </x:c>
      <x:c r="D129" s="28" t="str">
        <x:v>{"镝","Dysprosium","Dy","镝元素"}</x:v>
      </x:c>
      <x:c r="E129" s="24"/>
      <x:c r="F129" s="24"/>
      <x:c r="G129" s="30" t="n">
        <x:v>0</x:v>
      </x:c>
      <x:c r="H129" s="32" t="b">
        <x:v>0</x:v>
      </x:c>
      <x:c r="I129" s="24"/>
      <x:c r="J129" s="24"/>
      <x:c r="K129" s="24"/>
    </x:row>
    <x:row r="130" ht="25" customHeight="1">
      <x:c r="A130" s="24" t="str">
        <x:v>4aca4fa8-2b74-5853-b2a6-c08f82baab41</x:v>
      </x:c>
      <x:c r="B130" s="24" t="str">
        <x:v>铽</x:v>
      </x:c>
      <x:c r="C130" s="24" t="str">
        <x:v>commodity</x:v>
      </x:c>
      <x:c r="D130" s="28" t="str">
        <x:v>{"铽","Terbium","Tb","铽元素"}</x:v>
      </x:c>
      <x:c r="E130" s="24"/>
      <x:c r="F130" s="24"/>
      <x:c r="G130" s="30" t="n">
        <x:v>0</x:v>
      </x:c>
      <x:c r="H130" s="32" t="b">
        <x:v>0</x:v>
      </x:c>
      <x:c r="I130" s="24"/>
      <x:c r="J130" s="24"/>
      <x:c r="K130" s="24"/>
    </x:row>
    <x:row r="131" ht="25" customHeight="1">
      <x:c r="A131" s="24" t="str">
        <x:v>4681f618-e880-5ba7-aebd-8076d436f973</x:v>
      </x:c>
      <x:c r="B131" s="24" t="str">
        <x:v>钇</x:v>
      </x:c>
      <x:c r="C131" s="24" t="str">
        <x:v>commodity</x:v>
      </x:c>
      <x:c r="D131" s="28" t="str">
        <x:v>{"钇","Yttrium","Y","钇元素"}</x:v>
      </x:c>
      <x:c r="E131" s="24"/>
      <x:c r="F131" s="24"/>
      <x:c r="G131" s="30" t="n">
        <x:v>0</x:v>
      </x:c>
      <x:c r="H131" s="32" t="b">
        <x:v>0</x:v>
      </x:c>
      <x:c r="I131" s="24"/>
      <x:c r="J131" s="24"/>
      <x:c r="K131" s="24"/>
    </x:row>
    <x:row r="132" ht="25" customHeight="1">
      <x:c r="A132" s="24" t="str">
        <x:v>9849149e-3899-5c2a-b9d3-ca4193be8b38</x:v>
      </x:c>
      <x:c r="B132" s="24" t="str">
        <x:v>镓</x:v>
      </x:c>
      <x:c r="C132" s="24" t="str">
        <x:v>commodity</x:v>
      </x:c>
      <x:c r="D132" s="28" t="str">
        <x:v>{"镓","Gallium","Ga","镓元素"}</x:v>
      </x:c>
      <x:c r="E132" s="24"/>
      <x:c r="F132" s="24"/>
      <x:c r="G132" s="30" t="n">
        <x:v>0</x:v>
      </x:c>
      <x:c r="H132" s="32" t="b">
        <x:v>0</x:v>
      </x:c>
      <x:c r="I132" s="24"/>
      <x:c r="J132" s="24"/>
      <x:c r="K132" s="24"/>
    </x:row>
    <x:row r="133" ht="25" customHeight="1">
      <x:c r="A133" s="24" t="str">
        <x:v>430fd2af-c5ab-5fd3-a9d7-75689b94f1cf</x:v>
      </x:c>
      <x:c r="B133" s="24" t="str">
        <x:v>锗</x:v>
      </x:c>
      <x:c r="C133" s="24" t="str">
        <x:v>commodity</x:v>
      </x:c>
      <x:c r="D133" s="28" t="str">
        <x:v>{"锗","Germanium","Ge","锗元素"}</x:v>
      </x:c>
      <x:c r="E133" s="24"/>
      <x:c r="F133" s="24"/>
      <x:c r="G133" s="30" t="n">
        <x:v>0</x:v>
      </x:c>
      <x:c r="H133" s="32" t="b">
        <x:v>0</x:v>
      </x:c>
      <x:c r="I133" s="24"/>
      <x:c r="J133" s="24"/>
      <x:c r="K133" s="24"/>
    </x:row>
    <x:row r="134" ht="25" customHeight="1">
      <x:c r="A134" s="24" t="str">
        <x:v>1556aeec-10ce-562a-adf2-2102141fe202</x:v>
      </x:c>
      <x:c r="B134" s="24" t="str">
        <x:v>石墨</x:v>
      </x:c>
      <x:c r="C134" s="24" t="str">
        <x:v>commodity</x:v>
      </x:c>
      <x:c r="D134" s="28" t="str">
        <x:v>{"石墨","Graphite","天然石墨"}</x:v>
      </x:c>
      <x:c r="E134" s="24"/>
      <x:c r="F134" s="24"/>
      <x:c r="G134" s="30" t="n">
        <x:v>0</x:v>
      </x:c>
      <x:c r="H134" s="32" t="b">
        <x:v>0</x:v>
      </x:c>
      <x:c r="I134" s="24"/>
      <x:c r="J134" s="24"/>
      <x:c r="K134" s="24"/>
    </x:row>
    <x:row r="135" ht="25" customHeight="1">
      <x:c r="A135" s="24" t="str">
        <x:v>07af8509-dafa-5f6b-9b5b-5c636892d270</x:v>
      </x:c>
      <x:c r="B135" s="24" t="str">
        <x:v>钴</x:v>
      </x:c>
      <x:c r="C135" s="24" t="str">
        <x:v>commodity</x:v>
      </x:c>
      <x:c r="D135" s="28" t="str">
        <x:v>{"钴","Cobalt","Co","钴金属"}</x:v>
      </x:c>
      <x:c r="E135" s="24"/>
      <x:c r="F135" s="24"/>
      <x:c r="G135" s="30" t="n">
        <x:v>0</x:v>
      </x:c>
      <x:c r="H135" s="32" t="b">
        <x:v>0</x:v>
      </x:c>
      <x:c r="I135" s="24"/>
      <x:c r="J135" s="24"/>
      <x:c r="K135" s="24"/>
    </x:row>
    <x:row r="136" ht="25" customHeight="1">
      <x:c r="A136" s="24" t="str">
        <x:v>329975b8-ec1c-5b04-84da-9583b86de82d</x:v>
      </x:c>
      <x:c r="B136" s="24" t="str">
        <x:v>锂</x:v>
      </x:c>
      <x:c r="C136" s="24" t="str">
        <x:v>commodity</x:v>
      </x:c>
      <x:c r="D136" s="28" t="str">
        <x:v>{"锂","Lithium","Li","锂金属"}</x:v>
      </x:c>
      <x:c r="E136" s="24"/>
      <x:c r="F136" s="24"/>
      <x:c r="G136" s="30" t="n">
        <x:v>0</x:v>
      </x:c>
      <x:c r="H136" s="32" t="b">
        <x:v>0</x:v>
      </x:c>
      <x:c r="I136" s="24"/>
      <x:c r="J136" s="24"/>
      <x:c r="K136" s="24"/>
    </x:row>
    <x:row r="137" ht="25" customHeight="1">
      <x:c r="A137" s="24" t="str">
        <x:v>6e1f75d7-37f0-5b39-a2bf-bba34c5f4705</x:v>
      </x:c>
      <x:c r="B137" s="24" t="str">
        <x:v>MPMaterials</x:v>
      </x:c>
      <x:c r="C137" s="24" t="str">
        <x:v>org</x:v>
      </x:c>
      <x:c r="D137" s="28" t="str">
        <x:v>{"MPMaterials","MP Materials","MP","MP Materials Corp"}</x:v>
      </x:c>
      <x:c r="E137" s="24"/>
      <x:c r="F137" s="24"/>
      <x:c r="G137" s="30" t="n">
        <x:v>0</x:v>
      </x:c>
      <x:c r="H137" s="32" t="b">
        <x:v>0</x:v>
      </x:c>
      <x:c r="I137" s="24"/>
      <x:c r="J137" s="24"/>
      <x:c r="K137" s="24"/>
    </x:row>
    <x:row r="138" ht="25" customHeight="1">
      <x:c r="A138" s="24" t="str">
        <x:v>c3eb4a2a-a42a-5f96-844f-dde4b1a28cd4</x:v>
      </x:c>
      <x:c r="B138" s="24" t="str">
        <x:v>莱纳斯稀土</x:v>
      </x:c>
      <x:c r="C138" s="24" t="str">
        <x:v>org</x:v>
      </x:c>
      <x:c r="D138" s="28" t="str">
        <x:v>{"莱纳斯稀土","Lynas Rare Earths","Lynas","莱纳斯"}</x:v>
      </x:c>
      <x:c r="E138" s="24"/>
      <x:c r="F138" s="24"/>
      <x:c r="G138" s="30" t="n">
        <x:v>0</x:v>
      </x:c>
      <x:c r="H138" s="32" t="b">
        <x:v>0</x:v>
      </x:c>
      <x:c r="I138" s="24"/>
      <x:c r="J138" s="24"/>
      <x:c r="K138" s="24"/>
    </x:row>
    <x:row r="139" ht="25" customHeight="1">
      <x:c r="A139" s="24" t="str">
        <x:v>cf63a062-a9c8-5665-9b6f-2a9590fa2087</x:v>
      </x:c>
      <x:c r="B139" s="24" t="str">
        <x:v>美国能源部</x:v>
      </x:c>
      <x:c r="C139" s="24" t="str">
        <x:v>org</x:v>
      </x:c>
      <x:c r="D139" s="28" t="str">
        <x:v>{"美国能源部","DOE","U.S. Department of Energy"}</x:v>
      </x:c>
      <x:c r="E139" s="24"/>
      <x:c r="F139" s="24"/>
      <x:c r="G139" s="30" t="n">
        <x:v>0</x:v>
      </x:c>
      <x:c r="H139" s="32" t="b">
        <x:v>0</x:v>
      </x:c>
      <x:c r="I139" s="24"/>
      <x:c r="J139" s="24"/>
      <x:c r="K139" s="24"/>
    </x:row>
    <x:row r="140" ht="25" customHeight="1">
      <x:c r="A140" s="24" t="str">
        <x:v>e2eb66a2-b339-5e5b-827e-70ce7c3ab27f</x:v>
      </x:c>
      <x:c r="B140" s="24" t="str">
        <x:v>国际能源署</x:v>
      </x:c>
      <x:c r="C140" s="24" t="str">
        <x:v>org</x:v>
      </x:c>
      <x:c r="D140" s="28" t="str">
        <x:v>{"国际能源署","IEA","International Energy Agency","国际能源机构"}</x:v>
      </x:c>
      <x:c r="E140" s="24"/>
      <x:c r="F140" s="24"/>
      <x:c r="G140" s="30" t="n">
        <x:v>0</x:v>
      </x:c>
      <x:c r="H140" s="32" t="b">
        <x:v>0</x:v>
      </x:c>
      <x:c r="I140" s="24"/>
      <x:c r="J140" s="24"/>
      <x:c r="K140" s="24"/>
    </x:row>
    <x:row r="141" ht="25" customHeight="1">
      <x:c r="A141" s="24" t="str">
        <x:v>e95a2bb1-93d6-55af-b752-d81237138fa4</x:v>
      </x:c>
      <x:c r="B141" s="24" t="str">
        <x:v>台积电</x:v>
      </x:c>
      <x:c r="C141" s="24" t="str">
        <x:v>org</x:v>
      </x:c>
      <x:c r="D141" s="28" t="str">
        <x:v>{"台积电","TSMC","Taiwan Semiconductor Manufacturing Company","台湾积体电路制造"}</x:v>
      </x:c>
      <x:c r="E141" s="24"/>
      <x:c r="F141" s="24"/>
      <x:c r="G141" s="30" t="n">
        <x:v>0</x:v>
      </x:c>
      <x:c r="H141" s="32" t="b">
        <x:v>0</x:v>
      </x:c>
      <x:c r="I141" s="24"/>
      <x:c r="J141" s="24"/>
      <x:c r="K141" s="24"/>
    </x:row>
    <x:row r="142" ht="25" customHeight="1">
      <x:c r="A142" s="24" t="str">
        <x:v>5ac04f8b-4b93-55e4-8256-ebfe2e3827df</x:v>
      </x:c>
      <x:c r="B142" s="24" t="str">
        <x:v>英伟达</x:v>
      </x:c>
      <x:c r="C142" s="24" t="str">
        <x:v>org</x:v>
      </x:c>
      <x:c r="D142" s="28" t="str">
        <x:v>{"英伟达","NVIDIA","Nvidia","辉达"}</x:v>
      </x:c>
      <x:c r="E142" s="24"/>
      <x:c r="F142" s="24"/>
      <x:c r="G142" s="30" t="n">
        <x:v>0</x:v>
      </x:c>
      <x:c r="H142" s="32" t="b">
        <x:v>0</x:v>
      </x:c>
      <x:c r="I142" s="24"/>
      <x:c r="J142" s="24"/>
      <x:c r="K142" s="24"/>
    </x:row>
    <x:row r="143" ht="25" customHeight="1">
      <x:c r="A143" s="24" t="str">
        <x:v>c7f8949e-5cc3-5c07-9e9f-53835a372199</x:v>
      </x:c>
      <x:c r="B143" s="24" t="str">
        <x:v>超威半导体</x:v>
      </x:c>
      <x:c r="C143" s="24" t="str">
        <x:v>org</x:v>
      </x:c>
      <x:c r="D143" s="28" t="str">
        <x:v>{"超威半导体","AMD","Advanced Micro Devices","超威"}</x:v>
      </x:c>
      <x:c r="E143" s="24"/>
      <x:c r="F143" s="24"/>
      <x:c r="G143" s="30" t="n">
        <x:v>0</x:v>
      </x:c>
      <x:c r="H143" s="32" t="b">
        <x:v>0</x:v>
      </x:c>
      <x:c r="I143" s="24"/>
      <x:c r="J143" s="24"/>
      <x:c r="K143" s="24"/>
    </x:row>
    <x:row r="144" ht="25" customHeight="1">
      <x:c r="A144" s="24" t="str">
        <x:v>35075307-d59f-5a90-84dc-1f851051b2f7</x:v>
      </x:c>
      <x:c r="B144" s="24" t="str">
        <x:v>博通</x:v>
      </x:c>
      <x:c r="C144" s="24" t="str">
        <x:v>org</x:v>
      </x:c>
      <x:c r="D144" s="28" t="str">
        <x:v>{"博通","Broadcom","Broadcom Inc.","AVGO"}</x:v>
      </x:c>
      <x:c r="E144" s="24"/>
      <x:c r="F144" s="24"/>
      <x:c r="G144" s="30" t="n">
        <x:v>0</x:v>
      </x:c>
      <x:c r="H144" s="32" t="b">
        <x:v>0</x:v>
      </x:c>
      <x:c r="I144" s="24"/>
      <x:c r="J144" s="24"/>
      <x:c r="K144" s="24"/>
    </x:row>
    <x:row r="145" ht="25" customHeight="1">
      <x:c r="A145" s="24" t="str">
        <x:v>0cc9f3a4-6b95-5f88-a4ee-69a5f3c916ca</x:v>
      </x:c>
      <x:c r="B145" s="24" t="str">
        <x:v>美光科技</x:v>
      </x:c>
      <x:c r="C145" s="24" t="str">
        <x:v>org</x:v>
      </x:c>
      <x:c r="D145" s="28" t="str">
        <x:v>{"美光科技","Micron","Micron Technology","美光"}</x:v>
      </x:c>
      <x:c r="E145" s="24"/>
      <x:c r="F145" s="24"/>
      <x:c r="G145" s="30" t="n">
        <x:v>0</x:v>
      </x:c>
      <x:c r="H145" s="32" t="b">
        <x:v>0</x:v>
      </x:c>
      <x:c r="I145" s="24"/>
      <x:c r="J145" s="24"/>
      <x:c r="K145" s="24"/>
    </x:row>
    <x:row r="146" ht="25" customHeight="1">
      <x:c r="A146" s="24" t="str">
        <x:v>fa3be059-9375-50b4-9d94-aba13f920166</x:v>
      </x:c>
      <x:c r="B146" s="24" t="str">
        <x:v>三星电子</x:v>
      </x:c>
      <x:c r="C146" s="24" t="str">
        <x:v>org</x:v>
      </x:c>
      <x:c r="D146" s="28" t="str">
        <x:v>{"三星电子","Samsung Electronics","三星"}</x:v>
      </x:c>
      <x:c r="E146" s="24"/>
      <x:c r="F146" s="24"/>
      <x:c r="G146" s="30" t="n">
        <x:v>0</x:v>
      </x:c>
      <x:c r="H146" s="32" t="b">
        <x:v>0</x:v>
      </x:c>
      <x:c r="I146" s="24"/>
      <x:c r="J146" s="24"/>
      <x:c r="K146" s="24"/>
    </x:row>
    <x:row r="147" ht="25" customHeight="1">
      <x:c r="A147" s="24" t="str">
        <x:v>a4606a63-cd34-569f-944d-b97ddac6af25</x:v>
      </x:c>
      <x:c r="B147" s="24" t="str">
        <x:v>SK海力士</x:v>
      </x:c>
      <x:c r="C147" s="24" t="str">
        <x:v>org</x:v>
      </x:c>
      <x:c r="D147" s="28" t="str">
        <x:v>{"SK海力士","SK Hynix","海力士"}</x:v>
      </x:c>
      <x:c r="E147" s="24"/>
      <x:c r="F147" s="24"/>
      <x:c r="G147" s="30" t="n">
        <x:v>0</x:v>
      </x:c>
      <x:c r="H147" s="32" t="b">
        <x:v>0</x:v>
      </x:c>
      <x:c r="I147" s="24"/>
      <x:c r="J147" s="24"/>
      <x:c r="K147" s="24"/>
    </x:row>
    <x:row r="148" ht="25" customHeight="1">
      <x:c r="A148" s="24" t="str">
        <x:v>8b17bf30-77e8-5da8-b6bb-2d34731e015c</x:v>
      </x:c>
      <x:c r="B148" s="24" t="str">
        <x:v>阿斯麦</x:v>
      </x:c>
      <x:c r="C148" s="24" t="str">
        <x:v>org</x:v>
      </x:c>
      <x:c r="D148" s="28" t="str">
        <x:v>{"阿斯麦","ASML","ASML Holding"}</x:v>
      </x:c>
      <x:c r="E148" s="24"/>
      <x:c r="F148" s="24"/>
      <x:c r="G148" s="30" t="n">
        <x:v>0</x:v>
      </x:c>
      <x:c r="H148" s="32" t="b">
        <x:v>0</x:v>
      </x:c>
      <x:c r="I148" s="24"/>
      <x:c r="J148" s="24"/>
      <x:c r="K148" s="24"/>
    </x:row>
    <x:row r="149" ht="25" customHeight="1">
      <x:c r="A149" s="24" t="str">
        <x:v>013c2bbc-80d8-5eca-b36c-642cf9e1d8b7</x:v>
      </x:c>
      <x:c r="B149" s="24" t="str">
        <x:v>应用材料</x:v>
      </x:c>
      <x:c r="C149" s="24" t="str">
        <x:v>org</x:v>
      </x:c>
      <x:c r="D149" s="28" t="str">
        <x:v>{"应用材料","Applied Materials","AMAT"}</x:v>
      </x:c>
      <x:c r="E149" s="24"/>
      <x:c r="F149" s="24"/>
      <x:c r="G149" s="30" t="n">
        <x:v>0</x:v>
      </x:c>
      <x:c r="H149" s="32" t="b">
        <x:v>0</x:v>
      </x:c>
      <x:c r="I149" s="24"/>
      <x:c r="J149" s="24"/>
      <x:c r="K149" s="24"/>
    </x:row>
    <x:row r="150" ht="25" customHeight="1">
      <x:c r="A150" s="24" t="str">
        <x:v>52a015de-48c1-574a-aa78-4c9e2f7dd1a9</x:v>
      </x:c>
      <x:c r="B150" s="24" t="str">
        <x:v>CoWoS先进封装</x:v>
      </x:c>
      <x:c r="C150" s="24" t="str">
        <x:v>concept</x:v>
      </x:c>
      <x:c r="D150" s="28" t="str">
        <x:v>{"CoWoS先进封装","CoWoS","Chip-on-Wafer-on-Substrate"}</x:v>
      </x:c>
      <x:c r="E150" s="24"/>
      <x:c r="F150" s="24"/>
      <x:c r="G150" s="30" t="n">
        <x:v>0</x:v>
      </x:c>
      <x:c r="H150" s="32" t="b">
        <x:v>0</x:v>
      </x:c>
      <x:c r="I150" s="24"/>
      <x:c r="J150" s="24"/>
      <x:c r="K150" s="24"/>
    </x:row>
    <x:row r="151" ht="25" customHeight="1">
      <x:c r="A151" s="24" t="str">
        <x:v>81ca9f24-19c6-501b-b597-1dae1c2b1868</x:v>
      </x:c>
      <x:c r="B151" s="24" t="str">
        <x:v>HBM高带宽内存</x:v>
      </x:c>
      <x:c r="C151" s="24" t="str">
        <x:v>commodity</x:v>
      </x:c>
      <x:c r="D151" s="28" t="str">
        <x:v>{"HBM高带宽内存","HBM","High Bandwidth Memory","高带宽存储器"}</x:v>
      </x:c>
      <x:c r="E151" s="24"/>
      <x:c r="F151" s="24"/>
      <x:c r="G151" s="30" t="n">
        <x:v>0</x:v>
      </x:c>
      <x:c r="H151" s="32" t="b">
        <x:v>0</x:v>
      </x:c>
      <x:c r="I151" s="24"/>
      <x:c r="J151" s="24"/>
      <x:c r="K151" s="24"/>
    </x:row>
    <x:row r="152" ht="25" customHeight="1">
      <x:c r="A152" s="24" t="str">
        <x:v>b4695911-b740-5678-9d9e-9fc816dcb7ac</x:v>
      </x:c>
      <x:c r="B152" s="24" t="str">
        <x:v>先进制程晶圆</x:v>
      </x:c>
      <x:c r="C152" s="24" t="str">
        <x:v>commodity</x:v>
      </x:c>
      <x:c r="D152" s="28" t="str">
        <x:v>{"先进制程晶圆","Advanced Logic Wafers","先进逻辑晶圆"}</x:v>
      </x:c>
      <x:c r="E152" s="24"/>
      <x:c r="F152" s="24"/>
      <x:c r="G152" s="30" t="n">
        <x:v>0</x:v>
      </x:c>
      <x:c r="H152" s="32" t="b">
        <x:v>0</x:v>
      </x:c>
      <x:c r="I152" s="24"/>
      <x:c r="J152" s="24"/>
      <x:c r="K152" s="24"/>
    </x:row>
    <x:row r="153" ht="25" customHeight="1">
      <x:c r="A153" s="24" t="str">
        <x:v>685a4fa5-a51c-584f-8fa8-b557c4d95563</x:v>
      </x:c>
      <x:c r="B153" s="24" t="str">
        <x:v>微软</x:v>
      </x:c>
      <x:c r="C153" s="24" t="str">
        <x:v>org</x:v>
      </x:c>
      <x:c r="D153" s="28" t="str">
        <x:v>{"微软","Microsoft","Microsoft Corporation","微软公司"}</x:v>
      </x:c>
      <x:c r="E153" s="24"/>
      <x:c r="F153" s="24"/>
      <x:c r="G153" s="30" t="n">
        <x:v>0</x:v>
      </x:c>
      <x:c r="H153" s="32" t="b">
        <x:v>0</x:v>
      </x:c>
      <x:c r="I153" s="24"/>
      <x:c r="J153" s="24"/>
      <x:c r="K153" s="24"/>
    </x:row>
    <x:row r="154" ht="25" customHeight="1">
      <x:c r="A154" s="24" t="str">
        <x:v>e110513b-05de-5569-8c32-1cf018799f6d</x:v>
      </x:c>
      <x:c r="B154" s="24" t="str">
        <x:v>谷歌母公司Alphabet</x:v>
      </x:c>
      <x:c r="C154" s="24" t="str">
        <x:v>org</x:v>
      </x:c>
      <x:c r="D154" s="28" t="str">
        <x:v>{"谷歌母公司Alphabet","Alphabet","Google parent","Alphabet Inc."}</x:v>
      </x:c>
      <x:c r="E154" s="24"/>
      <x:c r="F154" s="24"/>
      <x:c r="G154" s="30" t="n">
        <x:v>0</x:v>
      </x:c>
      <x:c r="H154" s="32" t="b">
        <x:v>0</x:v>
      </x:c>
      <x:c r="I154" s="24"/>
      <x:c r="J154" s="24"/>
      <x:c r="K154" s="24"/>
    </x:row>
    <x:row r="155" ht="25" customHeight="1">
      <x:c r="A155" s="24" t="str">
        <x:v>39ad576a-378f-5e49-83e2-3d420e01c8c7</x:v>
      </x:c>
      <x:c r="B155" s="24" t="str">
        <x:v>谷歌</x:v>
      </x:c>
      <x:c r="C155" s="24" t="str">
        <x:v>org</x:v>
      </x:c>
      <x:c r="D155" s="28" t="str">
        <x:v>{"谷歌","Google","Google LLC"}</x:v>
      </x:c>
      <x:c r="E155" s="24"/>
      <x:c r="F155" s="24"/>
      <x:c r="G155" s="30" t="n">
        <x:v>0</x:v>
      </x:c>
      <x:c r="H155" s="32" t="b">
        <x:v>0</x:v>
      </x:c>
      <x:c r="I155" s="24"/>
      <x:c r="J155" s="24"/>
      <x:c r="K155" s="24"/>
    </x:row>
    <x:row r="156" ht="25" customHeight="1">
      <x:c r="A156" s="24" t="str">
        <x:v>8516d979-4db6-5601-abf4-0ff8a8f6c320</x:v>
      </x:c>
      <x:c r="B156" s="24" t="str">
        <x:v>亚马逊云科技</x:v>
      </x:c>
      <x:c r="C156" s="24" t="str">
        <x:v>org</x:v>
      </x:c>
      <x:c r="D156" s="28" t="str">
        <x:v>{"亚马逊云科技","AWS","Amazon Web Services","亚马逊AWS"}</x:v>
      </x:c>
      <x:c r="E156" s="24"/>
      <x:c r="F156" s="24"/>
      <x:c r="G156" s="30" t="n">
        <x:v>0</x:v>
      </x:c>
      <x:c r="H156" s="32" t="b">
        <x:v>0</x:v>
      </x:c>
      <x:c r="I156" s="24"/>
      <x:c r="J156" s="24"/>
      <x:c r="K156" s="24"/>
    </x:row>
    <x:row r="157" ht="25" customHeight="1">
      <x:c r="A157" s="24" t="str">
        <x:v>61420e68-8c38-51a6-9dc5-b90a4465337f</x:v>
      </x:c>
      <x:c r="B157" s="24" t="str">
        <x:v>甲骨文</x:v>
      </x:c>
      <x:c r="C157" s="24" t="str">
        <x:v>org</x:v>
      </x:c>
      <x:c r="D157" s="28" t="str">
        <x:v>{"甲骨文","Oracle","Oracle Corporation","甲骨文公司"}</x:v>
      </x:c>
      <x:c r="E157" s="24"/>
      <x:c r="F157" s="24"/>
      <x:c r="G157" s="30" t="n">
        <x:v>0</x:v>
      </x:c>
      <x:c r="H157" s="32" t="b">
        <x:v>0</x:v>
      </x:c>
      <x:c r="I157" s="24"/>
      <x:c r="J157" s="24"/>
      <x:c r="K157" s="24"/>
    </x:row>
    <x:row r="158" ht="25" customHeight="1">
      <x:c r="A158" s="24" t="str">
        <x:v>33a84383-bd39-5dd1-b353-c7fa1f6f0050</x:v>
      </x:c>
      <x:c r="B158" s="24" t="str">
        <x:v>MetaPlatforms</x:v>
      </x:c>
      <x:c r="C158" s="24" t="str">
        <x:v>org</x:v>
      </x:c>
      <x:c r="D158" s="28" t="str">
        <x:v>{"MetaPlatforms","Meta Platforms","Meta","Meta Platforms Inc.","Meta公司"}</x:v>
      </x:c>
      <x:c r="E158" s="24"/>
      <x:c r="F158" s="24"/>
      <x:c r="G158" s="30" t="n">
        <x:v>0</x:v>
      </x:c>
      <x:c r="H158" s="32" t="b">
        <x:v>0</x:v>
      </x:c>
      <x:c r="I158" s="24"/>
      <x:c r="J158" s="24"/>
      <x:c r="K158" s="24"/>
    </x:row>
    <x:row r="159" ht="25" customHeight="1">
      <x:c r="A159" s="24" t="str">
        <x:v>430f8719-77e5-59fe-bc13-3327d5bd6c1a</x:v>
      </x:c>
      <x:c r="B159" s="24" t="str">
        <x:v>OpenAI</x:v>
      </x:c>
      <x:c r="C159" s="24" t="str">
        <x:v>org</x:v>
      </x:c>
      <x:c r="D159" s="28" t="str">
        <x:v>{"OpenAI","OpenAI Inc.","开放人工智能公司"}</x:v>
      </x:c>
      <x:c r="E159" s="24"/>
      <x:c r="F159" s="24"/>
      <x:c r="G159" s="30" t="n">
        <x:v>0</x:v>
      </x:c>
      <x:c r="H159" s="32" t="b">
        <x:v>0</x:v>
      </x:c>
      <x:c r="I159" s="24"/>
      <x:c r="J159" s="24"/>
      <x:c r="K159" s="24"/>
    </x:row>
    <x:row r="160" ht="25" customHeight="1">
      <x:c r="A160" s="24" t="str">
        <x:v>662f2efa-5be0-5641-ac5a-e5a156157dea</x:v>
      </x:c>
      <x:c r="B160" s="24" t="str">
        <x:v>Anthropic</x:v>
      </x:c>
      <x:c r="C160" s="24" t="str">
        <x:v>org</x:v>
      </x:c>
      <x:c r="D160" s="28" t="str">
        <x:v>{"Anthropic","Anthropic PBC","安思智","Anthropic公司"}</x:v>
      </x:c>
      <x:c r="E160" s="24"/>
      <x:c r="F160" s="24"/>
      <x:c r="G160" s="30" t="n">
        <x:v>0</x:v>
      </x:c>
      <x:c r="H160" s="32" t="b">
        <x:v>0</x:v>
      </x:c>
      <x:c r="I160" s="24"/>
      <x:c r="J160" s="24"/>
      <x:c r="K160" s="24"/>
    </x:row>
    <x:row r="161" ht="25" customHeight="1">
      <x:c r="A161" s="24" t="str">
        <x:v>6b8799ce-5762-51f9-9cab-ea40b4bf0003</x:v>
      </x:c>
      <x:c r="B161" s="24" t="str">
        <x:v>Maia300</x:v>
      </x:c>
      <x:c r="C161" s="24" t="str">
        <x:v>asset</x:v>
      </x:c>
      <x:c r="D161" s="28" t="str">
        <x:v>{"Maia300","Maia 300","Microsoft Maia 300","微软Maia 300"}</x:v>
      </x:c>
      <x:c r="E161" s="24"/>
      <x:c r="F161" s="24"/>
      <x:c r="G161" s="30" t="n">
        <x:v>0</x:v>
      </x:c>
      <x:c r="H161" s="32" t="b">
        <x:v>0</x:v>
      </x:c>
      <x:c r="I161" s="24"/>
      <x:c r="J161" s="24"/>
      <x:c r="K161" s="24"/>
    </x:row>
    <x:row r="162" ht="25" customHeight="1">
      <x:c r="A162" s="24" t="str">
        <x:v>7e923f5a-f634-5e52-85de-cd35b5185c2a</x:v>
      </x:c>
      <x:c r="B162" s="24" t="str">
        <x:v>AI数据中心</x:v>
      </x:c>
      <x:c r="C162" s="24" t="str">
        <x:v>asset</x:v>
      </x:c>
      <x:c r="D162" s="28" t="str">
        <x:v>{"AI数据中心","AI Data Centers","AI算力中心"}</x:v>
      </x:c>
      <x:c r="E162" s="24"/>
      <x:c r="F162" s="24"/>
      <x:c r="G162" s="30" t="n">
        <x:v>0</x:v>
      </x:c>
      <x:c r="H162" s="32" t="b">
        <x:v>0</x:v>
      </x:c>
      <x:c r="I162" s="24"/>
      <x:c r="J162" s="24"/>
      <x:c r="K162" s="24"/>
    </x:row>
    <x:row r="163" ht="25" customHeight="1">
      <x:c r="A163" s="24" t="str">
        <x:v>45c747de-7ae3-5894-8a59-7a2512f69e2c</x:v>
      </x:c>
      <x:c r="B163" s="24" t="str">
        <x:v>StargateAI基础设施项目</x:v>
      </x:c>
      <x:c r="C163" s="24" t="str">
        <x:v>asset</x:v>
      </x:c>
      <x:c r="D163" s="28" t="str">
        <x:v>{"StargateAI基础设施项目","Stargate AI基础设施项目","Stargate","星际之门计划","Stargate Project"}</x:v>
      </x:c>
      <x:c r="E163" s="24"/>
      <x:c r="F163" s="24"/>
      <x:c r="G163" s="30" t="n">
        <x:v>0</x:v>
      </x:c>
      <x:c r="H163" s="32" t="b">
        <x:v>0</x:v>
      </x:c>
      <x:c r="I163" s="24"/>
      <x:c r="J163" s="24"/>
      <x:c r="K163" s="24"/>
    </x:row>
    <x:row r="164" ht="25" customHeight="1">
      <x:c r="A164" s="24" t="str">
        <x:v>e2de0dbf-7194-52db-97fe-c154a0b0ab23</x:v>
      </x:c>
      <x:c r="B164" s="24" t="str">
        <x:v>RelatedDigital</x:v>
      </x:c>
      <x:c r="C164" s="24" t="str">
        <x:v>org</x:v>
      </x:c>
      <x:c r="D164" s="28" t="str">
        <x:v>{"RelatedDigital","Related Digital","Related Companies Digital"}</x:v>
      </x:c>
      <x:c r="E164" s="24"/>
      <x:c r="F164" s="24"/>
      <x:c r="G164" s="30" t="n">
        <x:v>0</x:v>
      </x:c>
      <x:c r="H164" s="32" t="b">
        <x:v>0</x:v>
      </x:c>
      <x:c r="I164" s="24"/>
      <x:c r="J164" s="24"/>
      <x:c r="K164" s="24"/>
    </x:row>
    <x:row r="165" ht="25" customHeight="1">
      <x:c r="A165" s="24" t="str">
        <x:v>2ebe058c-04ab-54d4-911d-884915be5133</x:v>
      </x:c>
      <x:c r="B165" s="24" t="str">
        <x:v>软银</x:v>
      </x:c>
      <x:c r="C165" s="24" t="str">
        <x:v>org</x:v>
      </x:c>
      <x:c r="D165" s="28" t="str">
        <x:v>{"软银","软银集团","SoftBank Group","SoftBank"}</x:v>
      </x:c>
      <x:c r="E165" s="24"/>
      <x:c r="F165" s="24"/>
      <x:c r="G165" s="30" t="n">
        <x:v>0</x:v>
      </x:c>
      <x:c r="H165" s="32" t="b">
        <x:v>0</x:v>
      </x:c>
      <x:c r="I165" s="24"/>
      <x:c r="J165" s="24"/>
      <x:c r="K165" s="24"/>
    </x:row>
    <x:row r="166" ht="25" customHeight="1">
      <x:c r="A166" s="24" t="str">
        <x:v>e7866df5-3f10-54b9-a4f0-f0d5127f7424</x:v>
      </x:c>
      <x:c r="B166" s="24" t="str">
        <x:v>CoreWeave</x:v>
      </x:c>
      <x:c r="C166" s="24" t="str">
        <x:v>org</x:v>
      </x:c>
      <x:c r="D166" s="28" t="str">
        <x:v>{"CoreWeave","CoreWeave Inc.","CoreWeave云"}</x:v>
      </x:c>
      <x:c r="E166" s="24"/>
      <x:c r="F166" s="24"/>
      <x:c r="G166" s="30" t="n">
        <x:v>0</x:v>
      </x:c>
      <x:c r="H166" s="32" t="b">
        <x:v>0</x:v>
      </x:c>
      <x:c r="I166" s="24"/>
      <x:c r="J166" s="24"/>
      <x:c r="K166" s="24"/>
    </x:row>
    <x:row r="167" ht="25" customHeight="1">
      <x:c r="A167" s="24" t="str">
        <x:v>faffff1d-69eb-5f57-897a-ef63ec211451</x:v>
      </x:c>
      <x:c r="B167" s="24" t="str">
        <x:v>DayOne数据中心</x:v>
      </x:c>
      <x:c r="C167" s="24" t="str">
        <x:v>org</x:v>
      </x:c>
      <x:c r="D167" s="28" t="str">
        <x:v>{"DayOne数据中心","DayOne Data Centers","DayOne"}</x:v>
      </x:c>
      <x:c r="E167" s="24"/>
      <x:c r="F167" s="24"/>
      <x:c r="G167" s="30" t="n">
        <x:v>0</x:v>
      </x:c>
      <x:c r="H167" s="32" t="b">
        <x:v>0</x:v>
      </x:c>
      <x:c r="I167" s="24"/>
      <x:c r="J167" s="24"/>
      <x:c r="K167" s="24"/>
    </x:row>
    <x:row r="168" ht="25" customHeight="1">
      <x:c r="A168" s="24" t="str">
        <x:v>a72d789c-9801-598f-a2c5-42f820a08ffb</x:v>
      </x:c>
      <x:c r="B168" s="24" t="str">
        <x:v>字节跳动</x:v>
      </x:c>
      <x:c r="C168" s="24" t="str">
        <x:v>org</x:v>
      </x:c>
      <x:c r="D168" s="28" t="str">
        <x:v>{"字节跳动","ByteDance","字节","字节跳动有限公司"}</x:v>
      </x:c>
      <x:c r="E168" s="24"/>
      <x:c r="F168" s="24"/>
      <x:c r="G168" s="30" t="n">
        <x:v>0</x:v>
      </x:c>
      <x:c r="H168" s="32" t="b">
        <x:v>0</x:v>
      </x:c>
      <x:c r="I168" s="24"/>
      <x:c r="J168" s="24"/>
      <x:c r="K168" s="24"/>
    </x:row>
    <x:row r="169" ht="25" customHeight="1">
      <x:c r="A169" s="24" t="str">
        <x:v>5d36fdbd-fb8c-5d0c-820f-42e94897fd19</x:v>
      </x:c>
      <x:c r="B169" s="24" t="str">
        <x:v>英伟达GPU</x:v>
      </x:c>
      <x:c r="C169" s="24" t="str">
        <x:v>asset</x:v>
      </x:c>
      <x:c r="D169" s="28" t="str">
        <x:v>{"英伟达GPU","NVIDIA GPU","AI GPU","GPU加速卡"}</x:v>
      </x:c>
      <x:c r="E169" s="24"/>
      <x:c r="F169" s="24"/>
      <x:c r="G169" s="30" t="n">
        <x:v>0</x:v>
      </x:c>
      <x:c r="H169" s="32" t="b">
        <x:v>0</x:v>
      </x:c>
      <x:c r="I169" s="24"/>
      <x:c r="J169" s="24"/>
      <x:c r="K169" s="24"/>
    </x:row>
    <x:row r="170" ht="25" customHeight="1">
      <x:c r="A170" s="24" t="str">
        <x:v>5f9cccf6-e04c-54d0-8e47-f6e9d1f2c945</x:v>
      </x:c>
      <x:c r="B170" s="24" t="str">
        <x:v>数据中心电力容量</x:v>
      </x:c>
      <x:c r="C170" s="24" t="str">
        <x:v>concept</x:v>
      </x:c>
      <x:c r="D170" s="28" t="str">
        <x:v>{"数据中心电力容量","Data Center Power Capacity","MW容量","GW容量"}</x:v>
      </x:c>
      <x:c r="E170" s="24"/>
      <x:c r="F170" s="24"/>
      <x:c r="G170" s="30" t="n">
        <x:v>0</x:v>
      </x:c>
      <x:c r="H170" s="32" t="b">
        <x:v>0</x:v>
      </x:c>
      <x:c r="I170" s="24"/>
      <x:c r="J170" s="24"/>
      <x:c r="K170" s="24"/>
    </x:row>
    <x:row r="171" ht="25" customHeight="1">
      <x:c r="A171" s="24" t="str">
        <x:v>42a5f9f4-db4f-5f2e-82e4-99b47ebf8448</x:v>
      </x:c>
      <x:c r="B171" s="24" t="str">
        <x:v>美国联邦储备系统</x:v>
      </x:c>
      <x:c r="C171" s="24" t="str">
        <x:v>org</x:v>
      </x:c>
      <x:c r="D171" s="28" t="str">
        <x:v>{"美国联邦储备系统","Federal Reserve","Fed","美联储"}</x:v>
      </x:c>
      <x:c r="E171" s="24"/>
      <x:c r="F171" s="24"/>
      <x:c r="G171" s="30" t="n">
        <x:v>0</x:v>
      </x:c>
      <x:c r="H171" s="32" t="b">
        <x:v>0</x:v>
      </x:c>
      <x:c r="I171" s="24"/>
      <x:c r="J171" s="24"/>
      <x:c r="K171" s="24"/>
    </x:row>
    <x:row r="172" ht="25" customHeight="1">
      <x:c r="A172" s="24" t="str">
        <x:v>58e329c4-74bb-5460-99b5-34f7e526ab12</x:v>
      </x:c>
      <x:c r="B172" s="24" t="str">
        <x:v>联邦公开市场委员会</x:v>
      </x:c>
      <x:c r="C172" s="24" t="str">
        <x:v>org</x:v>
      </x:c>
      <x:c r="D172" s="28" t="str">
        <x:v>{"联邦公开市场委员会","FOMC","Federal Open Market Committee"}</x:v>
      </x:c>
      <x:c r="E172" s="24"/>
      <x:c r="F172" s="24"/>
      <x:c r="G172" s="30" t="n">
        <x:v>0</x:v>
      </x:c>
      <x:c r="H172" s="32" t="b">
        <x:v>0</x:v>
      </x:c>
      <x:c r="I172" s="24"/>
      <x:c r="J172" s="24"/>
      <x:c r="K172" s="24"/>
    </x:row>
    <x:row r="173" ht="25" customHeight="1">
      <x:c r="A173" s="24" t="str">
        <x:v>058c5562-5668-5013-bd38-36a4e0cfb656</x:v>
      </x:c>
      <x:c r="B173" s="24" t="str">
        <x:v>欧洲中央银行</x:v>
      </x:c>
      <x:c r="C173" s="24" t="str">
        <x:v>org</x:v>
      </x:c>
      <x:c r="D173" s="28" t="str">
        <x:v>{"欧洲中央银行","ECB","European Central Bank","欧洲央行"}</x:v>
      </x:c>
      <x:c r="E173" s="24"/>
      <x:c r="F173" s="24"/>
      <x:c r="G173" s="30" t="n">
        <x:v>0</x:v>
      </x:c>
      <x:c r="H173" s="32" t="b">
        <x:v>0</x:v>
      </x:c>
      <x:c r="I173" s="24"/>
      <x:c r="J173" s="24"/>
      <x:c r="K173" s="24"/>
    </x:row>
    <x:row r="174" ht="25" customHeight="1">
      <x:c r="A174" s="24" t="str">
        <x:v>0139e2a7-6491-5f0a-b5bd-fb638b738261</x:v>
      </x:c>
      <x:c r="B174" s="24" t="str">
        <x:v>日本银行</x:v>
      </x:c>
      <x:c r="C174" s="24" t="str">
        <x:v>org</x:v>
      </x:c>
      <x:c r="D174" s="28" t="str">
        <x:v>{"日本银行","BOJ","Bank of Japan","日本央行"}</x:v>
      </x:c>
      <x:c r="E174" s="24"/>
      <x:c r="F174" s="24"/>
      <x:c r="G174" s="30" t="n">
        <x:v>0</x:v>
      </x:c>
      <x:c r="H174" s="32" t="b">
        <x:v>0</x:v>
      </x:c>
      <x:c r="I174" s="24"/>
      <x:c r="J174" s="24"/>
      <x:c r="K174" s="24"/>
    </x:row>
    <x:row r="175" ht="25" customHeight="1">
      <x:c r="A175" s="24" t="str">
        <x:v>2c98103d-dceb-506e-8e4d-b52036467c24</x:v>
      </x:c>
      <x:c r="B175" s="24" t="str">
        <x:v>美国财政部</x:v>
      </x:c>
      <x:c r="C175" s="24" t="str">
        <x:v>org</x:v>
      </x:c>
      <x:c r="D175" s="28" t="str">
        <x:v>{"美国财政部","U.S. Treasury","US Treasury","United States Department of the Treasury"}</x:v>
      </x:c>
      <x:c r="E175" s="24"/>
      <x:c r="F175" s="24"/>
      <x:c r="G175" s="30" t="n">
        <x:v>0</x:v>
      </x:c>
      <x:c r="H175" s="32" t="b">
        <x:v>0</x:v>
      </x:c>
      <x:c r="I175" s="24"/>
      <x:c r="J175" s="24"/>
      <x:c r="K175" s="24"/>
    </x:row>
    <x:row r="176" ht="25" customHeight="1">
      <x:c r="A176" s="24" t="str">
        <x:v>fb50fec2-f374-5fa3-9f41-d24d789d9b68</x:v>
      </x:c>
      <x:c r="B176" s="24" t="str">
        <x:v>美国十年期国债</x:v>
      </x:c>
      <x:c r="C176" s="24" t="str">
        <x:v>asset</x:v>
      </x:c>
      <x:c r="D176" s="28" t="str">
        <x:v>{"美国十年期国债","US 10-year Treasury","10Y UST","美国10年期国债"}</x:v>
      </x:c>
      <x:c r="E176" s="24"/>
      <x:c r="F176" s="24"/>
      <x:c r="G176" s="30" t="n">
        <x:v>0</x:v>
      </x:c>
      <x:c r="H176" s="32" t="b">
        <x:v>0</x:v>
      </x:c>
      <x:c r="I176" s="24"/>
      <x:c r="J176" s="24"/>
      <x:c r="K176" s="24"/>
    </x:row>
    <x:row r="177" ht="25" customHeight="1">
      <x:c r="A177" s="24" t="str">
        <x:v>036e5635-b846-503f-81fb-d3b1d279ad3e</x:v>
      </x:c>
      <x:c r="B177" s="24" t="str">
        <x:v>法国十年期国债</x:v>
      </x:c>
      <x:c r="C177" s="24" t="str">
        <x:v>asset</x:v>
      </x:c>
      <x:c r="D177" s="28" t="str">
        <x:v>{"法国十年期国债","French 10-year OAT","法国OAT国债"}</x:v>
      </x:c>
      <x:c r="E177" s="24"/>
      <x:c r="F177" s="24"/>
      <x:c r="G177" s="30" t="n">
        <x:v>0</x:v>
      </x:c>
      <x:c r="H177" s="32" t="b">
        <x:v>0</x:v>
      </x:c>
      <x:c r="I177" s="24"/>
      <x:c r="J177" s="24"/>
      <x:c r="K177" s="24"/>
    </x:row>
    <x:row r="178" ht="25" customHeight="1">
      <x:c r="A178" s="24" t="str">
        <x:v>e5b2b16f-7f17-584f-ac5f-2baab63e5ece</x:v>
      </x:c>
      <x:c r="B178" s="24" t="str">
        <x:v>德国十年期国债</x:v>
      </x:c>
      <x:c r="C178" s="24" t="str">
        <x:v>asset</x:v>
      </x:c>
      <x:c r="D178" s="28" t="str">
        <x:v>{"德国十年期国债","German 10-year Bund","德国Bund国债"}</x:v>
      </x:c>
      <x:c r="E178" s="24"/>
      <x:c r="F178" s="24"/>
      <x:c r="G178" s="30" t="n">
        <x:v>0</x:v>
      </x:c>
      <x:c r="H178" s="32" t="b">
        <x:v>0</x:v>
      </x:c>
      <x:c r="I178" s="24"/>
      <x:c r="J178" s="24"/>
      <x:c r="K178" s="24"/>
    </x:row>
    <x:row r="179" ht="25" customHeight="1">
      <x:c r="A179" s="24" t="str">
        <x:v>a1095e97-a64c-5fa2-9ccb-2fab1a655b24</x:v>
      </x:c>
      <x:c r="B179" s="24" t="str">
        <x:v>美元指数</x:v>
      </x:c>
      <x:c r="C179" s="24" t="str">
        <x:v>asset</x:v>
      </x:c>
      <x:c r="D179" s="28" t="str">
        <x:v>{"美元指数","DXY","US Dollar Index","美元指数DXY"}</x:v>
      </x:c>
      <x:c r="E179" s="24"/>
      <x:c r="F179" s="24"/>
      <x:c r="G179" s="30" t="n">
        <x:v>0</x:v>
      </x:c>
      <x:c r="H179" s="32" t="b">
        <x:v>0</x:v>
      </x:c>
      <x:c r="I179" s="24"/>
      <x:c r="J179" s="24"/>
      <x:c r="K179" s="24"/>
    </x:row>
    <x:row r="180" ht="25" customHeight="1">
      <x:c r="A180" s="24" t="str">
        <x:v>3d942b92-b342-5941-b079-5eb0e7a09a5a</x:v>
      </x:c>
      <x:c r="B180" s="24" t="str">
        <x:v>欧元兑美元</x:v>
      </x:c>
      <x:c r="C180" s="24" t="str">
        <x:v>asset</x:v>
      </x:c>
      <x:c r="D180" s="28" t="str">
        <x:v>{"欧元兑美元","EURUSD","EUR/USD","欧元美元汇率"}</x:v>
      </x:c>
      <x:c r="E180" s="24"/>
      <x:c r="F180" s="24"/>
      <x:c r="G180" s="30" t="n">
        <x:v>0</x:v>
      </x:c>
      <x:c r="H180" s="32" t="b">
        <x:v>0</x:v>
      </x:c>
      <x:c r="I180" s="24"/>
      <x:c r="J180" s="24"/>
      <x:c r="K180" s="24"/>
    </x:row>
    <x:row r="181" ht="25" customHeight="1">
      <x:c r="A181" s="24" t="str">
        <x:v>d4cde3a8-7886-5691-aa85-7280fe3e6b55</x:v>
      </x:c>
      <x:c r="B181" s="24" t="str">
        <x:v>美元兑日元</x:v>
      </x:c>
      <x:c r="C181" s="24" t="str">
        <x:v>asset</x:v>
      </x:c>
      <x:c r="D181" s="28" t="str">
        <x:v>{"美元兑日元","USDJPY","USD/JPY","美日汇率"}</x:v>
      </x:c>
      <x:c r="E181" s="24"/>
      <x:c r="F181" s="24"/>
      <x:c r="G181" s="30" t="n">
        <x:v>0</x:v>
      </x:c>
      <x:c r="H181" s="32" t="b">
        <x:v>0</x:v>
      </x:c>
      <x:c r="I181" s="24"/>
      <x:c r="J181" s="24"/>
      <x:c r="K181" s="24"/>
    </x:row>
    <x:row r="182" ht="25" customHeight="1">
      <x:c r="A182" s="24" t="str">
        <x:v>3f79fd7e-b125-5a46-8b1f-df63f826c5d6</x:v>
      </x:c>
      <x:c r="B182" s="24" t="str">
        <x:v>布伦特-WTI价差</x:v>
      </x:c>
      <x:c r="C182" s="24" t="str">
        <x:v>asset</x:v>
      </x:c>
      <x:c r="D182" s="28" t="str">
        <x:v>{"布伦特-WTI价差","Brent WTI Spread","布伦特WTI价差"}</x:v>
      </x:c>
      <x:c r="E182" s="24"/>
      <x:c r="F182" s="24"/>
      <x:c r="G182" s="30" t="n">
        <x:v>0</x:v>
      </x:c>
      <x:c r="H182" s="32" t="b">
        <x:v>0</x:v>
      </x:c>
      <x:c r="I182" s="24"/>
      <x:c r="J182" s="24"/>
      <x:c r="K182" s="24"/>
    </x:row>
    <x:row r="183" ht="25" customHeight="1">
      <x:c r="A183" s="24" t="str">
        <x:v>f07eba31-a44c-5c21-a1a4-8aceebe8f38d</x:v>
      </x:c>
      <x:c r="B183" s="24" t="str">
        <x:v>印度储备银行</x:v>
      </x:c>
      <x:c r="C183" s="24" t="str">
        <x:v>org</x:v>
      </x:c>
      <x:c r="D183" s="28" t="str">
        <x:v>{"印度储备银行","RBI","Reserve Bank of India","印度央行"}</x:v>
      </x:c>
      <x:c r="E183" s="24"/>
      <x:c r="F183" s="24"/>
      <x:c r="G183" s="30" t="n">
        <x:v>0</x:v>
      </x:c>
      <x:c r="H183" s="32" t="b">
        <x:v>0</x:v>
      </x:c>
      <x:c r="I183" s="24"/>
      <x:c r="J183" s="24"/>
      <x:c r="K183" s="24"/>
    </x:row>
    <x:row r="184" ht="25" customHeight="1">
      <x:c r="A184" s="24" t="str">
        <x:v>fef6273b-0974-5638-88bd-c8e54c12d677</x:v>
      </x:c>
      <x:c r="B184" s="24" t="str">
        <x:v>印度消费者物价指数</x:v>
      </x:c>
      <x:c r="C184" s="24" t="str">
        <x:v>asset</x:v>
      </x:c>
      <x:c r="D184" s="28" t="str">
        <x:v>{"印度消费者物价指数","India CPI","印度CPI"}</x:v>
      </x:c>
      <x:c r="E184" s="24"/>
      <x:c r="F184" s="24"/>
      <x:c r="G184" s="30" t="n">
        <x:v>0</x:v>
      </x:c>
      <x:c r="H184" s="32" t="b">
        <x:v>0</x:v>
      </x:c>
      <x:c r="I184" s="24"/>
      <x:c r="J184" s="24"/>
      <x:c r="K184" s="24"/>
    </x:row>
    <x:row r="185" ht="25" customHeight="1">
      <x:c r="A185" s="24" t="str">
        <x:v>f086c3f7-4e1c-5486-b377-5c27e29fb535</x:v>
      </x:c>
      <x:c r="B185" s="24" t="str">
        <x:v>日本国内企业物价指数</x:v>
      </x:c>
      <x:c r="C185" s="24" t="str">
        <x:v>asset</x:v>
      </x:c>
      <x:c r="D185" s="28" t="str">
        <x:v>{"日本国内企业物价指数","Japan CGPI","CGPI","日本企业物价指数"}</x:v>
      </x:c>
      <x:c r="E185" s="24"/>
      <x:c r="F185" s="24"/>
      <x:c r="G185" s="30" t="n">
        <x:v>0</x:v>
      </x:c>
      <x:c r="H185" s="32" t="b">
        <x:v>0</x:v>
      </x:c>
      <x:c r="I185" s="24"/>
      <x:c r="J185" s="24"/>
      <x:c r="K185" s="24"/>
    </x:row>
    <x:row r="186" ht="25" customHeight="1">
      <x:c r="A186" s="24" t="str">
        <x:v>82eb1c13-81b1-5a0a-96f5-41b9e4ac71b7</x:v>
      </x:c>
      <x:c r="B186" s="24" t="str">
        <x:v>美国消费者物价指数</x:v>
      </x:c>
      <x:c r="C186" s="24" t="str">
        <x:v>asset</x:v>
      </x:c>
      <x:c r="D186" s="28" t="str">
        <x:v>{"美国消费者物价指数","US CPI","CPI-U","美国CPI"}</x:v>
      </x:c>
      <x:c r="E186" s="24"/>
      <x:c r="F186" s="24"/>
      <x:c r="G186" s="30" t="n">
        <x:v>0</x:v>
      </x:c>
      <x:c r="H186" s="32" t="b">
        <x:v>0</x:v>
      </x:c>
      <x:c r="I186" s="24"/>
      <x:c r="J186" s="24"/>
      <x:c r="K186" s="24"/>
    </x:row>
    <x:row r="187" ht="25" customHeight="1">
      <x:c r="A187" s="24" t="str">
        <x:v>0c5529c2-ded1-510b-9aa5-259fe7ea52ec</x:v>
      </x:c>
      <x:c r="B187" s="24" t="str">
        <x:v>印度卢比</x:v>
      </x:c>
      <x:c r="C187" s="24" t="str">
        <x:v>asset</x:v>
      </x:c>
      <x:c r="D187" s="28" t="str">
        <x:v>{"印度卢比","INR","Indian Rupee","卢比"}</x:v>
      </x:c>
      <x:c r="E187" s="24"/>
      <x:c r="F187" s="24"/>
      <x:c r="G187" s="30" t="n">
        <x:v>0</x:v>
      </x:c>
      <x:c r="H187" s="32" t="b">
        <x:v>0</x:v>
      </x:c>
      <x:c r="I187" s="24"/>
      <x:c r="J187" s="24"/>
      <x:c r="K187" s="24"/>
    </x:row>
    <x:row r="188" ht="25" customHeight="1">
      <x:c r="A188" s="24" t="str">
        <x:v>be3ff1b6-e456-50d0-ab31-aebc3112bc08</x:v>
      </x:c>
      <x:c r="B188" s="24" t="str">
        <x:v>日元</x:v>
      </x:c>
      <x:c r="C188" s="24" t="str">
        <x:v>asset</x:v>
      </x:c>
      <x:c r="D188" s="28" t="str">
        <x:v>{"日元","JPY","Japanese Yen"}</x:v>
      </x:c>
      <x:c r="E188" s="24"/>
      <x:c r="F188" s="24"/>
      <x:c r="G188" s="30" t="n">
        <x:v>0</x:v>
      </x:c>
      <x:c r="H188" s="32" t="b">
        <x:v>0</x:v>
      </x:c>
      <x:c r="I188" s="24"/>
      <x:c r="J188" s="24"/>
      <x:c r="K188" s="24"/>
    </x:row>
    <x:row r="189" ht="25" customHeight="1">
      <x:c r="A189" s="24" t="str">
        <x:v>a09196e1-bf9f-560a-bd3b-a168e1c58bfb</x:v>
      </x:c>
      <x:c r="B189" s="24" t="str">
        <x:v>苏丹武装部队</x:v>
      </x:c>
      <x:c r="C189" s="24" t="str">
        <x:v>org</x:v>
      </x:c>
      <x:c r="D189" s="28" t="str">
        <x:v>{"苏丹武装部队","SAF","Sudanese Armed Forces","苏丹军方"}</x:v>
      </x:c>
      <x:c r="E189" s="24"/>
      <x:c r="F189" s="24"/>
      <x:c r="G189" s="30" t="n">
        <x:v>0</x:v>
      </x:c>
      <x:c r="H189" s="32" t="b">
        <x:v>0</x:v>
      </x:c>
      <x:c r="I189" s="24"/>
      <x:c r="J189" s="24"/>
      <x:c r="K189" s="24"/>
    </x:row>
    <x:row r="190" ht="25" customHeight="1">
      <x:c r="A190" s="24" t="str">
        <x:v>bf4e6249-1eff-5248-9161-e2e37c58a44b</x:v>
      </x:c>
      <x:c r="B190" s="24" t="str">
        <x:v>快速支援部队</x:v>
      </x:c>
      <x:c r="C190" s="24" t="str">
        <x:v>org</x:v>
      </x:c>
      <x:c r="D190" s="28" t="str">
        <x:v>{"快速支援部队","RSF","Rapid Support Forces","苏丹快速支援部队"}</x:v>
      </x:c>
      <x:c r="E190" s="24"/>
      <x:c r="F190" s="24"/>
      <x:c r="G190" s="30" t="n">
        <x:v>0</x:v>
      </x:c>
      <x:c r="H190" s="32" t="b">
        <x:v>0</x:v>
      </x:c>
      <x:c r="I190" s="24"/>
      <x:c r="J190" s="24"/>
      <x:c r="K190" s="24"/>
    </x:row>
    <x:row r="191" ht="25" customHeight="1">
      <x:c r="A191" s="24" t="str">
        <x:v>b716ba51-71f5-52a8-819f-0f29e08f966b</x:v>
      </x:c>
      <x:c r="B191" s="24" t="str">
        <x:v>苏丹中央银行</x:v>
      </x:c>
      <x:c r="C191" s="24" t="str">
        <x:v>org</x:v>
      </x:c>
      <x:c r="D191" s="28" t="str">
        <x:v>{"苏丹中央银行","Central Bank of Sudan","苏丹央行"}</x:v>
      </x:c>
      <x:c r="E191" s="24"/>
      <x:c r="F191" s="24"/>
      <x:c r="G191" s="30" t="n">
        <x:v>0</x:v>
      </x:c>
      <x:c r="H191" s="32" t="b">
        <x:v>0</x:v>
      </x:c>
      <x:c r="I191" s="24"/>
      <x:c r="J191" s="24"/>
      <x:c r="K191" s="24"/>
    </x:row>
    <x:row r="192" ht="25" customHeight="1">
      <x:c r="A192" s="24" t="str">
        <x:v>14f00dc4-a274-5966-a25c-b8f4098b6308</x:v>
      </x:c>
      <x:c r="B192" s="24" t="str">
        <x:v>苏丹镑</x:v>
      </x:c>
      <x:c r="C192" s="24" t="str">
        <x:v>asset</x:v>
      </x:c>
      <x:c r="D192" s="28" t="str">
        <x:v>{"苏丹镑","Sudanese Pound","SDG"}</x:v>
      </x:c>
      <x:c r="E192" s="24"/>
      <x:c r="F192" s="24"/>
      <x:c r="G192" s="30" t="n">
        <x:v>0</x:v>
      </x:c>
      <x:c r="H192" s="32" t="b">
        <x:v>0</x:v>
      </x:c>
      <x:c r="I192" s="24"/>
      <x:c r="J192" s="24"/>
      <x:c r="K192" s="24"/>
    </x:row>
    <x:row r="193" ht="25" customHeight="1">
      <x:c r="A193" s="24" t="str">
        <x:v>b4420867-309d-55f4-b886-cec7a462eb23</x:v>
      </x:c>
      <x:c r="B193" s="24" t="str">
        <x:v>达尔富尔</x:v>
      </x:c>
      <x:c r="C193" s="24" t="str">
        <x:v>place</x:v>
      </x:c>
      <x:c r="D193" s="28" t="str">
        <x:v>{"达尔富尔","Darfur","苏丹达尔富尔"}</x:v>
      </x:c>
      <x:c r="E193" s="24"/>
      <x:c r="F193" s="24"/>
      <x:c r="G193" s="30" t="n">
        <x:v>0</x:v>
      </x:c>
      <x:c r="H193" s="32" t="b">
        <x:v>0</x:v>
      </x:c>
      <x:c r="I193" s="24"/>
      <x:c r="J193" s="24"/>
      <x:c r="K193" s="24"/>
    </x:row>
    <x:row r="194" ht="25" customHeight="1">
      <x:c r="A194" s="24" t="str">
        <x:v>acea663d-1648-5dc6-9da6-b778bcc9319e</x:v>
      </x:c>
      <x:c r="B194" s="24" t="str">
        <x:v>科尔多凡</x:v>
      </x:c>
      <x:c r="C194" s="24" t="str">
        <x:v>place</x:v>
      </x:c>
      <x:c r="D194" s="28" t="str">
        <x:v>{"科尔多凡","Kordofan","Kurdufan","科尔多凡地区"}</x:v>
      </x:c>
      <x:c r="E194" s="24"/>
      <x:c r="F194" s="24"/>
      <x:c r="G194" s="30" t="n">
        <x:v>0</x:v>
      </x:c>
      <x:c r="H194" s="32" t="b">
        <x:v>0</x:v>
      </x:c>
      <x:c r="I194" s="24"/>
      <x:c r="J194" s="24"/>
      <x:c r="K194" s="24"/>
    </x:row>
    <x:row r="195" ht="25" customHeight="1">
      <x:c r="A195" s="24" t="str">
        <x:v>02b0af0e-e233-5cf3-871e-c6cd1b448296</x:v>
      </x:c>
      <x:c r="B195" s="24" t="str">
        <x:v>喀土穆</x:v>
      </x:c>
      <x:c r="C195" s="24" t="str">
        <x:v>place</x:v>
      </x:c>
      <x:c r="D195" s="28" t="str">
        <x:v>{"喀土穆","Khartoum","喀土穆市"}</x:v>
      </x:c>
      <x:c r="E195" s="24"/>
      <x:c r="F195" s="24"/>
      <x:c r="G195" s="30" t="n">
        <x:v>0</x:v>
      </x:c>
      <x:c r="H195" s="32" t="b">
        <x:v>0</x:v>
      </x:c>
      <x:c r="I195" s="24"/>
      <x:c r="J195" s="24"/>
      <x:c r="K195" s="24"/>
    </x:row>
    <x:row r="196" ht="25" customHeight="1">
      <x:c r="A196" s="24" t="str">
        <x:v>30b17fcb-5e73-5e60-b89a-3536973803ec</x:v>
      </x:c>
      <x:c r="B196" s="24" t="str">
        <x:v>金矿资源</x:v>
      </x:c>
      <x:c r="C196" s="24" t="str">
        <x:v>commodity</x:v>
      </x:c>
      <x:c r="D196" s="28" t="str">
        <x:v>{"金矿资源","Gold Ore","苏丹黄金","黄金矿石"}</x:v>
      </x:c>
      <x:c r="E196" s="24"/>
      <x:c r="F196" s="24"/>
      <x:c r="G196" s="30" t="n">
        <x:v>0</x:v>
      </x:c>
      <x:c r="H196" s="32" t="b">
        <x:v>0</x:v>
      </x:c>
      <x:c r="I196" s="24"/>
      <x:c r="J196" s="24"/>
      <x:c r="K196" s="24"/>
    </x:row>
    <x:row r="197" ht="25" customHeight="1">
      <x:c r="A197" s="24" t="str">
        <x:v>df57a241-238d-5371-9e55-a5b564170d7f</x:v>
      </x:c>
      <x:c r="B197" s="24" t="str">
        <x:v>阿拉伯胶</x:v>
      </x:c>
      <x:c r="C197" s="24" t="str">
        <x:v>commodity</x:v>
      </x:c>
      <x:c r="D197" s="28" t="str">
        <x:v>{"阿拉伯胶","Gum Arabic","阿拉伯树胶"}</x:v>
      </x:c>
      <x:c r="E197" s="24"/>
      <x:c r="F197" s="24"/>
      <x:c r="G197" s="30" t="n">
        <x:v>0</x:v>
      </x:c>
      <x:c r="H197" s="32" t="b">
        <x:v>0</x:v>
      </x:c>
      <x:c r="I197" s="24"/>
      <x:c r="J197" s="24"/>
      <x:c r="K197" s="24"/>
    </x:row>
    <x:row r="198" ht="25" customHeight="1">
      <x:c r="A198" s="24" t="str">
        <x:v>c4f9b195-d8e0-55ae-9407-e0ba4c1b3ef4</x:v>
      </x:c>
      <x:c r="B198" s="24" t="str">
        <x:v>联合国难民署</x:v>
      </x:c>
      <x:c r="C198" s="24" t="str">
        <x:v>org</x:v>
      </x:c>
      <x:c r="D198" s="28" t="str">
        <x:v>{"联合国难民署","UNHCR","United Nations High Commissioner for Refugees"}</x:v>
      </x:c>
      <x:c r="E198" s="24"/>
      <x:c r="F198" s="24"/>
      <x:c r="G198" s="30" t="n">
        <x:v>0</x:v>
      </x:c>
      <x:c r="H198" s="32" t="b">
        <x:v>0</x:v>
      </x:c>
      <x:c r="I198" s="24"/>
      <x:c r="J198" s="24"/>
      <x:c r="K198" s="24"/>
    </x:row>
    <x:row r="199" ht="25" customHeight="1">
      <x:c r="A199" s="24" t="str">
        <x:v>70a16565-f106-5cac-aee6-2b5487ded9c1</x:v>
      </x:c>
      <x:c r="B199" s="24" t="str">
        <x:v>M23运动</x:v>
      </x:c>
      <x:c r="C199" s="24" t="str">
        <x:v>org</x:v>
      </x:c>
      <x:c r="D199" s="28" t="str">
        <x:v>{"M23运动","M23","March 23 Movement","三月二十三日运动"}</x:v>
      </x:c>
      <x:c r="E199" s="24"/>
      <x:c r="F199" s="24"/>
      <x:c r="G199" s="30" t="n">
        <x:v>0</x:v>
      </x:c>
      <x:c r="H199" s="32" t="b">
        <x:v>0</x:v>
      </x:c>
      <x:c r="I199" s="24"/>
      <x:c r="J199" s="24"/>
      <x:c r="K199" s="24"/>
    </x:row>
    <x:row r="200" ht="25" customHeight="1">
      <x:c r="A200" s="24" t="str">
        <x:v>d41a4bd5-c794-5840-bed0-a9b153b25bdc</x:v>
      </x:c>
      <x:c r="B200" s="24" t="str">
        <x:v>刚果民主共和国政府</x:v>
      </x:c>
      <x:c r="C200" s="24" t="str">
        <x:v>org</x:v>
      </x:c>
      <x:c r="D200" s="28" t="str">
        <x:v>{"刚果民主共和国政府","DRC Government","刚果金政府","刚果（金）政府"}</x:v>
      </x:c>
      <x:c r="E200" s="24"/>
      <x:c r="F200" s="24"/>
      <x:c r="G200" s="30" t="n">
        <x:v>0</x:v>
      </x:c>
      <x:c r="H200" s="32" t="b">
        <x:v>0</x:v>
      </x:c>
      <x:c r="I200" s="24"/>
      <x:c r="J200" s="24"/>
      <x:c r="K200" s="24"/>
    </x:row>
    <x:row r="201" ht="25" customHeight="1">
      <x:c r="A201" s="24" t="str">
        <x:v>33848a94-c9d6-5ef6-b636-5c7aaa765473</x:v>
      </x:c>
      <x:c r="B201" s="24" t="str">
        <x:v>卢旺达国防军</x:v>
      </x:c>
      <x:c r="C201" s="24" t="str">
        <x:v>org</x:v>
      </x:c>
      <x:c r="D201" s="28" t="str">
        <x:v>{"卢旺达国防军","RDF","Rwanda Defence Force","卢旺达军队"}</x:v>
      </x:c>
      <x:c r="E201" s="24"/>
      <x:c r="F201" s="24"/>
      <x:c r="G201" s="30" t="n">
        <x:v>0</x:v>
      </x:c>
      <x:c r="H201" s="32" t="b">
        <x:v>0</x:v>
      </x:c>
      <x:c r="I201" s="24"/>
      <x:c r="J201" s="24"/>
      <x:c r="K201" s="24"/>
    </x:row>
    <x:row r="202" ht="25" customHeight="1">
      <x:c r="A202" s="24" t="str">
        <x:v>deeb47bc-cef5-5662-a7fd-5aafa5c03058</x:v>
      </x:c>
      <x:c r="B202" s="24" t="str">
        <x:v>北基伍省</x:v>
      </x:c>
      <x:c r="C202" s="24" t="str">
        <x:v>place</x:v>
      </x:c>
      <x:c r="D202" s="28" t="str">
        <x:v>{"北基伍省","North Kivu","北基伍"}</x:v>
      </x:c>
      <x:c r="E202" s="24"/>
      <x:c r="F202" s="24"/>
      <x:c r="G202" s="30" t="n">
        <x:v>0</x:v>
      </x:c>
      <x:c r="H202" s="32" t="b">
        <x:v>0</x:v>
      </x:c>
      <x:c r="I202" s="24"/>
      <x:c r="J202" s="24"/>
      <x:c r="K202" s="24"/>
    </x:row>
    <x:row r="203" ht="25" customHeight="1">
      <x:c r="A203" s="24" t="str">
        <x:v>ac1f47d1-7202-5509-8638-0130f05fa287</x:v>
      </x:c>
      <x:c r="B203" s="24" t="str">
        <x:v>南基伍省</x:v>
      </x:c>
      <x:c r="C203" s="24" t="str">
        <x:v>place</x:v>
      </x:c>
      <x:c r="D203" s="28" t="str">
        <x:v>{"南基伍省","South Kivu","南基伍"}</x:v>
      </x:c>
      <x:c r="E203" s="24"/>
      <x:c r="F203" s="24"/>
      <x:c r="G203" s="30" t="n">
        <x:v>0</x:v>
      </x:c>
      <x:c r="H203" s="32" t="b">
        <x:v>0</x:v>
      </x:c>
      <x:c r="I203" s="24"/>
      <x:c r="J203" s="24"/>
      <x:c r="K203" s="24"/>
    </x:row>
    <x:row r="204" ht="25" customHeight="1">
      <x:c r="A204" s="24" t="str">
        <x:v>ea0bd457-f4ec-58dd-b99a-dc037df8d1fe</x:v>
      </x:c>
      <x:c r="B204" s="24" t="str">
        <x:v>乌维拉</x:v>
      </x:c>
      <x:c r="C204" s="24" t="str">
        <x:v>place</x:v>
      </x:c>
      <x:c r="D204" s="28" t="str">
        <x:v>{"乌维拉","Uvira","乌维拉市"}</x:v>
      </x:c>
      <x:c r="E204" s="24"/>
      <x:c r="F204" s="24"/>
      <x:c r="G204" s="30" t="n">
        <x:v>0</x:v>
      </x:c>
      <x:c r="H204" s="32" t="b">
        <x:v>0</x:v>
      </x:c>
      <x:c r="I204" s="24"/>
      <x:c r="J204" s="24"/>
      <x:c r="K204" s="24"/>
    </x:row>
    <x:row r="205" ht="25" customHeight="1">
      <x:c r="A205" s="24" t="str">
        <x:v>3f6fc564-c501-5c6d-b1fc-ea63cbb0b2f1</x:v>
      </x:c>
      <x:c r="B205" s="24" t="str">
        <x:v>戈马</x:v>
      </x:c>
      <x:c r="C205" s="24" t="str">
        <x:v>place</x:v>
      </x:c>
      <x:c r="D205" s="28" t="str">
        <x:v>{"戈马","Goma","戈马市"}</x:v>
      </x:c>
      <x:c r="E205" s="24"/>
      <x:c r="F205" s="24"/>
      <x:c r="G205" s="30" t="n">
        <x:v>0</x:v>
      </x:c>
      <x:c r="H205" s="32" t="b">
        <x:v>0</x:v>
      </x:c>
      <x:c r="I205" s="24"/>
      <x:c r="J205" s="24"/>
      <x:c r="K205" s="24"/>
    </x:row>
    <x:row r="206" ht="25" customHeight="1">
      <x:c r="A206" s="24" t="str">
        <x:v>c77ec6fe-404a-5110-b993-f075aa15c9e3</x:v>
      </x:c>
      <x:c r="B206" s="24" t="str">
        <x:v>钽矿</x:v>
      </x:c>
      <x:c r="C206" s="24" t="str">
        <x:v>commodity</x:v>
      </x:c>
      <x:c r="D206" s="28" t="str">
        <x:v>{"钽矿","Tantalum","Coltan","钽铁矿"}</x:v>
      </x:c>
      <x:c r="E206" s="24"/>
      <x:c r="F206" s="24"/>
      <x:c r="G206" s="30" t="n">
        <x:v>0</x:v>
      </x:c>
      <x:c r="H206" s="32" t="b">
        <x:v>0</x:v>
      </x:c>
      <x:c r="I206" s="24"/>
      <x:c r="J206" s="24"/>
      <x:c r="K206" s="24"/>
    </x:row>
    <x:row r="207" ht="25" customHeight="1">
      <x:c r="A207" s="24" t="str">
        <x:v>f49fc84f-7d49-55e3-8fb8-d732846f214c</x:v>
      </x:c>
      <x:c r="B207" s="24" t="str">
        <x:v>埃里克·普林斯</x:v>
      </x:c>
      <x:c r="C207" s="24" t="str">
        <x:v>person</x:v>
      </x:c>
      <x:c r="D207" s="28" t="str">
        <x:v>{"埃里克·普林斯","Erik Prince","Erik Dean Prince","埃里克普林斯"}</x:v>
      </x:c>
      <x:c r="E207" s="24"/>
      <x:c r="F207" s="24"/>
      <x:c r="G207" s="30" t="n">
        <x:v>0</x:v>
      </x:c>
      <x:c r="H207" s="32" t="b">
        <x:v>0</x:v>
      </x:c>
      <x:c r="I207" s="24"/>
      <x:c r="J207" s="24"/>
      <x:c r="K207" s="24"/>
    </x:row>
    <x:row r="208" ht="25" customHeight="1">
      <x:c r="A208" s="24" t="str">
        <x:v>e58f5c57-4a12-59ab-829d-3860452d974a</x:v>
      </x:c>
      <x:c r="B208" s="24" t="str">
        <x:v>VectusGlobal</x:v>
      </x:c>
      <x:c r="C208" s="24" t="str">
        <x:v>org</x:v>
      </x:c>
      <x:c r="D208" s="28" t="str">
        <x:v>{"VectusGlobal","Vectus Global","Vectus"}</x:v>
      </x:c>
      <x:c r="E208" s="24"/>
      <x:c r="F208" s="24"/>
      <x:c r="G208" s="30" t="n">
        <x:v>0</x:v>
      </x:c>
      <x:c r="H208" s="32" t="b">
        <x:v>0</x:v>
      </x:c>
      <x:c r="I208" s="24"/>
      <x:c r="J208" s="24"/>
      <x:c r="K208" s="24"/>
    </x:row>
    <x:row r="209" ht="25" customHeight="1">
      <x:c r="A209" s="24" t="str">
        <x:v>9c6959d7-e609-51e0-a24f-74b1344fea87</x:v>
      </x:c>
      <x:c r="B209" s="24" t="str">
        <x:v>路易斯·伊纳西奥·卢拉·达席尔瓦</x:v>
      </x:c>
      <x:c r="C209" s="24" t="str">
        <x:v>person</x:v>
      </x:c>
      <x:c r="D209" s="28" t="str">
        <x:v>{"路易斯·伊纳西奥·卢拉·达席尔瓦","Luiz Inacio Lula da Silva","Lula","卢拉"}</x:v>
      </x:c>
      <x:c r="E209" s="24"/>
      <x:c r="F209" s="24"/>
      <x:c r="G209" s="30" t="n">
        <x:v>0</x:v>
      </x:c>
      <x:c r="H209" s="32" t="b">
        <x:v>0</x:v>
      </x:c>
      <x:c r="I209" s="24"/>
      <x:c r="J209" s="24"/>
      <x:c r="K209" s="24"/>
    </x:row>
    <x:row r="210" ht="25" customHeight="1">
      <x:c r="A210" s="24" t="str">
        <x:v>cd70006b-3d81-5df6-a74d-cc18489bd57a</x:v>
      </x:c>
      <x:c r="B210" s="24" t="str">
        <x:v>弗拉维奥·博索纳罗</x:v>
      </x:c>
      <x:c r="C210" s="24" t="str">
        <x:v>person</x:v>
      </x:c>
      <x:c r="D210" s="28" t="str">
        <x:v>{"弗拉维奥·博索纳罗","Flavio Bolsonaro","Flávio Bolsonaro","弗拉维奥博索纳罗"}</x:v>
      </x:c>
      <x:c r="E210" s="24"/>
      <x:c r="F210" s="24"/>
      <x:c r="G210" s="30" t="n">
        <x:v>0</x:v>
      </x:c>
      <x:c r="H210" s="32" t="b">
        <x:v>0</x:v>
      </x:c>
      <x:c r="I210" s="24"/>
      <x:c r="J210" s="24"/>
      <x:c r="K210" s="24"/>
    </x:row>
    <x:row r="211" ht="25" customHeight="1">
      <x:c r="A211" s="24" t="str">
        <x:v>f1bded45-402c-59b3-a6b4-0729bbf9fa18</x:v>
      </x:c>
      <x:c r="B211" s="24" t="str">
        <x:v>巴西中央银行</x:v>
      </x:c>
      <x:c r="C211" s="24" t="str">
        <x:v>org</x:v>
      </x:c>
      <x:c r="D211" s="28" t="str">
        <x:v>{"巴西中央银行","Banco Central do Brasil","BCB","巴西央行"}</x:v>
      </x:c>
      <x:c r="E211" s="24"/>
      <x:c r="F211" s="24"/>
      <x:c r="G211" s="30" t="n">
        <x:v>0</x:v>
      </x:c>
      <x:c r="H211" s="32" t="b">
        <x:v>0</x:v>
      </x:c>
      <x:c r="I211" s="24"/>
      <x:c r="J211" s="24"/>
      <x:c r="K211" s="24"/>
    </x:row>
    <x:row r="212" ht="25" customHeight="1">
      <x:c r="A212" s="24" t="str">
        <x:v>a9ad0a9f-f3e9-518b-a0dc-ec2f1d1a15f5</x:v>
      </x:c>
      <x:c r="B212" s="24" t="str">
        <x:v>巴西雷亚尔</x:v>
      </x:c>
      <x:c r="C212" s="24" t="str">
        <x:v>asset</x:v>
      </x:c>
      <x:c r="D212" s="28" t="str">
        <x:v>{"巴西雷亚尔","BRL","Brazilian Real","雷亚尔"}</x:v>
      </x:c>
      <x:c r="E212" s="24"/>
      <x:c r="F212" s="24"/>
      <x:c r="G212" s="30" t="n">
        <x:v>0</x:v>
      </x:c>
      <x:c r="H212" s="32" t="b">
        <x:v>0</x:v>
      </x:c>
      <x:c r="I212" s="24"/>
      <x:c r="J212" s="24"/>
      <x:c r="K212" s="24"/>
    </x:row>
    <x:row r="213" ht="25" customHeight="1">
      <x:c r="A213" s="24" t="str">
        <x:v>ad617ea7-15b1-5407-b3a4-7833174f03cf</x:v>
      </x:c>
      <x:c r="B213" s="24" t="str">
        <x:v>圣保罗IBOVESPA指数</x:v>
      </x:c>
      <x:c r="C213" s="24" t="str">
        <x:v>asset</x:v>
      </x:c>
      <x:c r="D213" s="28" t="str">
        <x:v>{"圣保罗IBOVESPA指数","Ibovespa","IBOV","巴西股指"}</x:v>
      </x:c>
      <x:c r="E213" s="24"/>
      <x:c r="F213" s="24"/>
      <x:c r="G213" s="30" t="n">
        <x:v>0</x:v>
      </x:c>
      <x:c r="H213" s="32" t="b">
        <x:v>0</x:v>
      </x:c>
      <x:c r="I213" s="24"/>
      <x:c r="J213" s="24"/>
      <x:c r="K213" s="24"/>
    </x:row>
    <x:row r="214" ht="25" customHeight="1">
      <x:c r="A214" s="24" t="str">
        <x:v>dc5e0d22-113e-5782-874c-4cd6c134bcf1</x:v>
      </x:c>
      <x:c r="B214" s="24" t="str">
        <x:v>巴西劳工党</x:v>
      </x:c>
      <x:c r="C214" s="24" t="str">
        <x:v>org</x:v>
      </x:c>
      <x:c r="D214" s="28" t="str">
        <x:v>{"巴西劳工党","PT","Workers' Party Brazil","巴西工人党"}</x:v>
      </x:c>
      <x:c r="E214" s="24"/>
      <x:c r="F214" s="24"/>
      <x:c r="G214" s="30" t="n">
        <x:v>0</x:v>
      </x:c>
      <x:c r="H214" s="32" t="b">
        <x:v>0</x:v>
      </x:c>
      <x:c r="I214" s="24"/>
      <x:c r="J214" s="24"/>
      <x:c r="K214" s="24"/>
    </x:row>
    <x:row r="215" ht="25" customHeight="1">
      <x:c r="A215" s="24" t="str">
        <x:v>eeb4e1d1-41dc-53d1-ac0a-1498d2962ea1</x:v>
      </x:c>
      <x:c r="B215" s="24" t="str">
        <x:v>委内瑞拉国家石油公司</x:v>
      </x:c>
      <x:c r="C215" s="24" t="str">
        <x:v>org</x:v>
      </x:c>
      <x:c r="D215" s="28" t="str">
        <x:v>{"委内瑞拉国家石油公司","PDVSA","Petroleos de Venezuela","委内瑞拉石油公司"}</x:v>
      </x:c>
      <x:c r="E215" s="24"/>
      <x:c r="F215" s="24"/>
      <x:c r="G215" s="30" t="n">
        <x:v>0</x:v>
      </x:c>
      <x:c r="H215" s="32" t="b">
        <x:v>0</x:v>
      </x:c>
      <x:c r="I215" s="24"/>
      <x:c r="J215" s="24"/>
      <x:c r="K215" s="24"/>
    </x:row>
    <x:row r="216" ht="25" customHeight="1">
      <x:c r="A216" s="24" t="str">
        <x:v>3110c59f-a3c8-5081-b0e5-8f43c22ef9b3</x:v>
      </x:c>
      <x:c r="B216" s="24" t="str">
        <x:v>德尔西·罗德里格斯</x:v>
      </x:c>
      <x:c r="C216" s="24" t="str">
        <x:v>person</x:v>
      </x:c>
      <x:c r="D216" s="28" t="str">
        <x:v>{"德尔西·罗德里格斯","Delcy Rodríguez","Delcy Rodriguez","德尔西罗德里格斯"}</x:v>
      </x:c>
      <x:c r="E216" s="24"/>
      <x:c r="F216" s="24"/>
      <x:c r="G216" s="30" t="n">
        <x:v>0</x:v>
      </x:c>
      <x:c r="H216" s="32" t="b">
        <x:v>0</x:v>
      </x:c>
      <x:c r="I216" s="24"/>
      <x:c r="J216" s="24"/>
      <x:c r="K216" s="24"/>
    </x:row>
    <x:row r="217" ht="25" customHeight="1">
      <x:c r="A217" s="24" t="str">
        <x:v>e67a9279-b825-57c2-bedc-f4ea05c3e0cb</x:v>
      </x:c>
      <x:c r="B217" s="24" t="str">
        <x:v>美洲开发银行</x:v>
      </x:c>
      <x:c r="C217" s="24" t="str">
        <x:v>org</x:v>
      </x:c>
      <x:c r="D217" s="28" t="str">
        <x:v>{"美洲开发银行","IDB","Inter-American Development Bank","泛美开发银行"}</x:v>
      </x:c>
      <x:c r="E217" s="24"/>
      <x:c r="F217" s="24"/>
      <x:c r="G217" s="30" t="n">
        <x:v>0</x:v>
      </x:c>
      <x:c r="H217" s="32" t="b">
        <x:v>0</x:v>
      </x:c>
      <x:c r="I217" s="24"/>
      <x:c r="J217" s="24"/>
      <x:c r="K217" s="24"/>
    </x:row>
    <x:row r="218" ht="25" customHeight="1">
      <x:c r="A218" s="24" t="str">
        <x:v>3fc9de71-85e9-5228-be30-7c36a71d6658</x:v>
      </x:c>
      <x:c r="B218" s="24" t="str">
        <x:v>国际货币基金组织</x:v>
      </x:c>
      <x:c r="C218" s="24" t="str">
        <x:v>org</x:v>
      </x:c>
      <x:c r="D218" s="28" t="str">
        <x:v>{"国际货币基金组织","IMF","International Monetary Fund","国际货币基金"}</x:v>
      </x:c>
      <x:c r="E218" s="24"/>
      <x:c r="F218" s="24"/>
      <x:c r="G218" s="30" t="n">
        <x:v>0</x:v>
      </x:c>
      <x:c r="H218" s="32" t="b">
        <x:v>0</x:v>
      </x:c>
      <x:c r="I218" s="24"/>
      <x:c r="J218" s="24"/>
      <x:c r="K218" s="24"/>
    </x:row>
    <x:row r="219" ht="25" customHeight="1">
      <x:c r="A219" s="24" t="str">
        <x:v>d4239bac-3a48-5e3c-8e02-5047c4f654be</x:v>
      </x:c>
      <x:c r="B219" s="24" t="str">
        <x:v>世界银行</x:v>
      </x:c>
      <x:c r="C219" s="24" t="str">
        <x:v>org</x:v>
      </x:c>
      <x:c r="D219" s="28" t="str">
        <x:v>{"世界银行","World Bank","WB","世界银行集团"}</x:v>
      </x:c>
      <x:c r="E219" s="24"/>
      <x:c r="F219" s="24"/>
      <x:c r="G219" s="30" t="n">
        <x:v>0</x:v>
      </x:c>
      <x:c r="H219" s="32" t="b">
        <x:v>0</x:v>
      </x:c>
      <x:c r="I219" s="24"/>
      <x:c r="J219" s="24"/>
      <x:c r="K219" s="24"/>
    </x:row>
    <x:row r="220" ht="25" customHeight="1">
      <x:c r="A220" s="24" t="str">
        <x:v>06152fec-008d-5136-880c-5e1df44d4825</x:v>
      </x:c>
      <x:c r="B220" s="24" t="str">
        <x:v>埃克森美孚</x:v>
      </x:c>
      <x:c r="C220" s="24" t="str">
        <x:v>org</x:v>
      </x:c>
      <x:c r="D220" s="28" t="str">
        <x:v>{"埃克森美孚","ExxonMobil","Exxon Mobil","埃克森"}</x:v>
      </x:c>
      <x:c r="E220" s="24"/>
      <x:c r="F220" s="24"/>
      <x:c r="G220" s="30" t="n">
        <x:v>0</x:v>
      </x:c>
      <x:c r="H220" s="32" t="b">
        <x:v>0</x:v>
      </x:c>
      <x:c r="I220" s="24"/>
      <x:c r="J220" s="24"/>
      <x:c r="K220" s="24"/>
    </x:row>
    <x:row r="221" ht="25" customHeight="1">
      <x:c r="A221" s="24" t="str">
        <x:v>621159a3-9022-5375-b721-f63bad4921d6</x:v>
      </x:c>
      <x:c r="B221" s="24" t="str">
        <x:v>委内瑞拉重油</x:v>
      </x:c>
      <x:c r="C221" s="24" t="str">
        <x:v>commodity</x:v>
      </x:c>
      <x:c r="D221" s="28" t="str">
        <x:v>{"委内瑞拉重油","Venezuelan Heavy Crude","委内瑞拉重质原油"}</x:v>
      </x:c>
      <x:c r="E221" s="24"/>
      <x:c r="F221" s="24"/>
      <x:c r="G221" s="30" t="n">
        <x:v>0</x:v>
      </x:c>
      <x:c r="H221" s="32" t="b">
        <x:v>0</x:v>
      </x:c>
      <x:c r="I221" s="24"/>
      <x:c r="J221" s="24"/>
      <x:c r="K221" s="24"/>
    </x:row>
    <x:row r="222" ht="25" customHeight="1">
      <x:c r="A222" s="24" t="str">
        <x:v>26fa9e47-c57e-50df-960e-2b10794cb354</x:v>
      </x:c>
      <x:c r="B222" s="24" t="str">
        <x:v>委内瑞拉主权债</x:v>
      </x:c>
      <x:c r="C222" s="24" t="str">
        <x:v>asset</x:v>
      </x:c>
      <x:c r="D222" s="28" t="str">
        <x:v>{"委内瑞拉主权债","Venezuelan Sovereign Bonds","委内瑞拉国债"}</x:v>
      </x:c>
      <x:c r="E222" s="24"/>
      <x:c r="F222" s="24"/>
      <x:c r="G222" s="30" t="n">
        <x:v>0</x:v>
      </x:c>
      <x:c r="H222" s="32" t="b">
        <x:v>0</x:v>
      </x:c>
      <x:c r="I222" s="24"/>
      <x:c r="J222" s="24"/>
      <x:c r="K222" s="24"/>
    </x:row>
    <x:row r="223" ht="25" customHeight="1">
      <x:c r="A223" s="24" t="str">
        <x:v>0647dc27-05f9-5a65-9271-df05addbdeb1</x:v>
      </x:c>
      <x:c r="B223" s="24" t="str">
        <x:v>阿富汗塔利班</x:v>
      </x:c>
      <x:c r="C223" s="24" t="str">
        <x:v>org</x:v>
      </x:c>
      <x:c r="D223" s="28" t="str">
        <x:v>{"阿富汗塔利班","Afghan Taliban","Taliban","阿富汗临时政府塔利班"}</x:v>
      </x:c>
      <x:c r="E223" s="24"/>
      <x:c r="F223" s="24"/>
      <x:c r="G223" s="30" t="n">
        <x:v>0</x:v>
      </x:c>
      <x:c r="H223" s="32" t="b">
        <x:v>0</x:v>
      </x:c>
      <x:c r="I223" s="24"/>
      <x:c r="J223" s="24"/>
      <x:c r="K223" s="24"/>
    </x:row>
    <x:row r="224" ht="25" customHeight="1">
      <x:c r="A224" s="24" t="str">
        <x:v>cb3ab7cf-4d88-5053-8238-3b05ae937068</x:v>
      </x:c>
      <x:c r="B224" s="24" t="str">
        <x:v>巴基斯坦塔利班</x:v>
      </x:c>
      <x:c r="C224" s="24" t="str">
        <x:v>org</x:v>
      </x:c>
      <x:c r="D224" s="28" t="str">
        <x:v>{"巴基斯坦塔利班","TTP","Tehrik-i-Taliban Pakistan","巴塔"}</x:v>
      </x:c>
      <x:c r="E224" s="24"/>
      <x:c r="F224" s="24"/>
      <x:c r="G224" s="30" t="n">
        <x:v>0</x:v>
      </x:c>
      <x:c r="H224" s="32" t="b">
        <x:v>0</x:v>
      </x:c>
      <x:c r="I224" s="24"/>
      <x:c r="J224" s="24"/>
      <x:c r="K224" s="24"/>
    </x:row>
    <x:row r="225" ht="25" customHeight="1">
      <x:c r="A225" s="24" t="str">
        <x:v>cc7c2ceb-713c-5e97-8f72-b4ff0b7537a6</x:v>
      </x:c>
      <x:c r="B225" s="24" t="str">
        <x:v>巴基斯坦武装部队</x:v>
      </x:c>
      <x:c r="C225" s="24" t="str">
        <x:v>org</x:v>
      </x:c>
      <x:c r="D225" s="28" t="str">
        <x:v>{"巴基斯坦武装部队","Pakistan Armed Forces","巴基斯坦军方"}</x:v>
      </x:c>
      <x:c r="E225" s="24"/>
      <x:c r="F225" s="24"/>
      <x:c r="G225" s="30" t="n">
        <x:v>0</x:v>
      </x:c>
      <x:c r="H225" s="32" t="b">
        <x:v>0</x:v>
      </x:c>
      <x:c r="I225" s="24"/>
      <x:c r="J225" s="24"/>
      <x:c r="K225" s="24"/>
    </x:row>
    <x:row r="226" ht="25" customHeight="1">
      <x:c r="A226" s="24" t="str">
        <x:v>467cac3d-38c8-5e01-a2fb-85a6605722cc</x:v>
      </x:c>
      <x:c r="B226" s="24" t="str">
        <x:v>巴基斯坦政府</x:v>
      </x:c>
      <x:c r="C226" s="24" t="str">
        <x:v>org</x:v>
      </x:c>
      <x:c r="D226" s="28" t="str">
        <x:v>{"巴基斯坦政府","Government of Pakistan","巴政府"}</x:v>
      </x:c>
      <x:c r="E226" s="24"/>
      <x:c r="F226" s="24"/>
      <x:c r="G226" s="30" t="n">
        <x:v>0</x:v>
      </x:c>
      <x:c r="H226" s="32" t="b">
        <x:v>0</x:v>
      </x:c>
      <x:c r="I226" s="24"/>
      <x:c r="J226" s="24"/>
      <x:c r="K226" s="24"/>
    </x:row>
    <x:row r="227" ht="25" customHeight="1">
      <x:c r="A227" s="24" t="str">
        <x:v>e630dade-a798-5449-85cf-3c66ae840e1a</x:v>
      </x:c>
      <x:c r="B227" s="24" t="str">
        <x:v>杜兰线</x:v>
      </x:c>
      <x:c r="C227" s="24" t="str">
        <x:v>place</x:v>
      </x:c>
      <x:c r="D227" s="28" t="str">
        <x:v>{"杜兰线","Durand Line","阿巴边界"}</x:v>
      </x:c>
      <x:c r="E227" s="24"/>
      <x:c r="F227" s="24"/>
      <x:c r="G227" s="30" t="n">
        <x:v>0</x:v>
      </x:c>
      <x:c r="H227" s="32" t="b">
        <x:v>0</x:v>
      </x:c>
      <x:c r="I227" s="24"/>
      <x:c r="J227" s="24"/>
      <x:c r="K227" s="24"/>
    </x:row>
    <x:row r="228" ht="25" customHeight="1">
      <x:c r="A228" s="24" t="str">
        <x:v>7134bc5d-a18f-521c-bcbe-c3afc6442e41</x:v>
      </x:c>
      <x:c r="B228" s="24" t="str">
        <x:v>开伯尔山口</x:v>
      </x:c>
      <x:c r="C228" s="24" t="str">
        <x:v>place</x:v>
      </x:c>
      <x:c r="D228" s="28" t="str">
        <x:v>{"开伯尔山口","Khyber Pass","开伯尔隘口"}</x:v>
      </x:c>
      <x:c r="E228" s="24"/>
      <x:c r="F228" s="24"/>
      <x:c r="G228" s="30" t="n">
        <x:v>0</x:v>
      </x:c>
      <x:c r="H228" s="32" t="b">
        <x:v>0</x:v>
      </x:c>
      <x:c r="I228" s="24"/>
      <x:c r="J228" s="24"/>
      <x:c r="K228" s="24"/>
    </x:row>
    <x:row r="229" ht="25" customHeight="1">
      <x:c r="A229" s="24" t="str">
        <x:v>63dc39d7-53b7-5a27-b7c6-76233afc8aba</x:v>
      </x:c>
      <x:c r="B229" s="24" t="str">
        <x:v>联合国气候变化框架公约秘书处</x:v>
      </x:c>
      <x:c r="C229" s="24" t="str">
        <x:v>org</x:v>
      </x:c>
      <x:c r="D229" s="28" t="str">
        <x:v>{"联合国气候变化框架公约秘书处","UNFCCC","联合国气候变化框架公约"}</x:v>
      </x:c>
      <x:c r="E229" s="24"/>
      <x:c r="F229" s="24"/>
      <x:c r="G229" s="30" t="n">
        <x:v>0</x:v>
      </x:c>
      <x:c r="H229" s="32" t="b">
        <x:v>0</x:v>
      </x:c>
      <x:c r="I229" s="24"/>
      <x:c r="J229" s="24"/>
      <x:c r="K229" s="24"/>
    </x:row>
    <x:row r="230" ht="25" customHeight="1">
      <x:c r="A230" s="24" t="str">
        <x:v>a5b19f48-ccdb-5955-8685-b9ae8dfefd3b</x:v>
      </x:c>
      <x:c r="B230" s="24" t="str">
        <x:v>COP31气候大会</x:v>
      </x:c>
      <x:c r="C230" s="24" t="str">
        <x:v>concept</x:v>
      </x:c>
      <x:c r="D230" s="28" t="str">
        <x:v>{"COP31气候大会","COP31","第31届联合国气候大会"}</x:v>
      </x:c>
      <x:c r="E230" s="24"/>
      <x:c r="F230" s="24"/>
      <x:c r="G230" s="30" t="n">
        <x:v>0</x:v>
      </x:c>
      <x:c r="H230" s="32" t="b">
        <x:v>0</x:v>
      </x:c>
      <x:c r="I230" s="24"/>
      <x:c r="J230" s="24"/>
      <x:c r="K230" s="24"/>
    </x:row>
    <x:row r="231" ht="25" customHeight="1">
      <x:c r="A231" s="24" t="str">
        <x:v>37be25a7-8a90-5b09-9e50-a2cfbcac20dc</x:v>
      </x:c>
      <x:c r="B231" s="24" t="str">
        <x:v>《巴黎协定》</x:v>
      </x:c>
      <x:c r="C231" s="24" t="str">
        <x:v>concept</x:v>
      </x:c>
      <x:c r="D231" s="28" t="str">
        <x:v>{"《巴黎协定》","Paris Agreement","巴黎气候协定"}</x:v>
      </x:c>
      <x:c r="E231" s="24"/>
      <x:c r="F231" s="24"/>
      <x:c r="G231" s="30" t="n">
        <x:v>0</x:v>
      </x:c>
      <x:c r="H231" s="32" t="b">
        <x:v>0</x:v>
      </x:c>
      <x:c r="I231" s="24"/>
      <x:c r="J231" s="24"/>
      <x:c r="K231" s="24"/>
    </x:row>
    <x:row r="232" ht="25" customHeight="1">
      <x:c r="A232" s="24" t="str">
        <x:v>2167a396-5504-52dc-b8d1-0fb0bdfcc550</x:v>
      </x:c>
      <x:c r="B232" s="24" t="str">
        <x:v>气候融资</x:v>
      </x:c>
      <x:c r="C232" s="24" t="str">
        <x:v>concept</x:v>
      </x:c>
      <x:c r="D232" s="28" t="str">
        <x:v>{"气候融资","Climate Finance","气候资金"}</x:v>
      </x:c>
      <x:c r="E232" s="24"/>
      <x:c r="F232" s="24"/>
      <x:c r="G232" s="30" t="n">
        <x:v>0</x:v>
      </x:c>
      <x:c r="H232" s="32" t="b">
        <x:v>0</x:v>
      </x:c>
      <x:c r="I232" s="24"/>
      <x:c r="J232" s="24"/>
      <x:c r="K232" s="24"/>
    </x:row>
    <x:row r="233" ht="25" customHeight="1">
      <x:c r="A233" s="24" t="str">
        <x:v>b74cbb4e-daef-5597-9afb-bd9512d8e6b4</x:v>
      </x:c>
      <x:c r="B233" s="24" t="str">
        <x:v>土耳其环境、城市化和气候变化部</x:v>
      </x:c>
      <x:c r="C233" s="24" t="str">
        <x:v>org</x:v>
      </x:c>
      <x:c r="D233" s="28" t="str">
        <x:v>{"土耳其环境、城市化和气候变化部","Turkey Ministry of Environment","土耳其环境部"}</x:v>
      </x:c>
      <x:c r="E233" s="24"/>
      <x:c r="F233" s="24"/>
      <x:c r="G233" s="30" t="n">
        <x:v>0</x:v>
      </x:c>
      <x:c r="H233" s="32" t="b">
        <x:v>0</x:v>
      </x:c>
      <x:c r="I233" s="24"/>
      <x:c r="J233" s="24"/>
      <x:c r="K233" s="24"/>
    </x:row>
    <x:row r="234" ht="25" customHeight="1">
      <x:c r="A234" s="24" t="str">
        <x:v>72ef337a-e4d4-52b5-b86e-a3d17068c9ab</x:v>
      </x:c>
      <x:c r="B234" s="24" t="str">
        <x:v>穆拉特·库鲁姆</x:v>
      </x:c>
      <x:c r="C234" s="24" t="str">
        <x:v>person</x:v>
      </x:c>
      <x:c r="D234" s="28" t="str">
        <x:v>{"穆拉特·库鲁姆","Murat Kurum","土耳其环境部长库鲁姆"}</x:v>
      </x:c>
      <x:c r="E234" s="24"/>
      <x:c r="F234" s="24"/>
      <x:c r="G234" s="30" t="n">
        <x:v>0</x:v>
      </x:c>
      <x:c r="H234" s="32" t="b">
        <x:v>0</x:v>
      </x:c>
      <x:c r="I234" s="24"/>
      <x:c r="J234" s="24"/>
      <x:c r="K234" s="24"/>
    </x:row>
    <x:row r="235" ht="25" customHeight="1">
      <x:c r="A235" s="24" t="str">
        <x:v>e5e68693-978d-58a2-84ca-8ccf3cbf5de2</x:v>
      </x:c>
      <x:c r="B235" s="24" t="str">
        <x:v>斐济</x:v>
      </x:c>
      <x:c r="C235" s="24" t="str">
        <x:v>place</x:v>
      </x:c>
      <x:c r="D235" s="28" t="str">
        <x:v>{"斐济","Fiji","斐济共和国"}</x:v>
      </x:c>
      <x:c r="E235" s="24"/>
      <x:c r="F235" s="24"/>
      <x:c r="G235" s="30" t="n">
        <x:v>0</x:v>
      </x:c>
      <x:c r="H235" s="32" t="b">
        <x:v>0</x:v>
      </x:c>
      <x:c r="I235" s="24"/>
      <x:c r="J235" s="24"/>
      <x:c r="K235" s="24"/>
    </x:row>
    <x:row r="236" ht="25" customHeight="1">
      <x:c r="A236" s="24" t="str">
        <x:v>c9449e4c-cf14-5135-8070-5137b49ecb9c</x:v>
      </x:c>
      <x:c r="B236" s="24" t="str">
        <x:v>图瓦卢</x:v>
      </x:c>
      <x:c r="C236" s="24" t="str">
        <x:v>place</x:v>
      </x:c>
      <x:c r="D236" s="28" t="str">
        <x:v>{"图瓦卢","Tuvalu","图瓦卢国"}</x:v>
      </x:c>
      <x:c r="E236" s="24"/>
      <x:c r="F236" s="24"/>
      <x:c r="G236" s="30" t="n">
        <x:v>0</x:v>
      </x:c>
      <x:c r="H236" s="32" t="b">
        <x:v>0</x:v>
      </x:c>
      <x:c r="I236" s="24"/>
      <x:c r="J236" s="24"/>
      <x:c r="K236" s="24"/>
    </x:row>
    <x:row r="237" ht="25" customHeight="1">
      <x:c r="A237" s="24" t="str">
        <x:v>86230d20-9871-52fa-a957-f0a0da7ec9fb</x:v>
      </x:c>
      <x:c r="B237" s="24" t="str">
        <x:v>安塔利亚</x:v>
      </x:c>
      <x:c r="C237" s="24" t="str">
        <x:v>place</x:v>
      </x:c>
      <x:c r="D237" s="28" t="str">
        <x:v>{"安塔利亚","Antalya","土耳其安塔利亚"}</x:v>
      </x:c>
      <x:c r="E237" s="24"/>
      <x:c r="F237" s="24"/>
      <x:c r="G237" s="30" t="n">
        <x:v>0</x:v>
      </x:c>
      <x:c r="H237" s="32" t="b">
        <x:v>0</x:v>
      </x:c>
      <x:c r="I237" s="24"/>
      <x:c r="J237" s="24"/>
      <x:c r="K237" s="24"/>
    </x:row>
    <x:row r="238" ht="25" customHeight="1">
      <x:c r="A238" s="24" t="str">
        <x:v>f4a944db-ffa2-58ce-8390-702123847206</x:v>
      </x:c>
      <x:c r="B238" s="24" t="str">
        <x:v>国际海事组织</x:v>
      </x:c>
      <x:c r="C238" s="24" t="str">
        <x:v>org</x:v>
      </x:c>
      <x:c r="D238" s="28" t="str">
        <x:v>{"国际海事组织","IMO","International Maritime Organization"}</x:v>
      </x:c>
      <x:c r="E238" s="24"/>
      <x:c r="F238" s="24"/>
      <x:c r="G238" s="30" t="n">
        <x:v>0</x:v>
      </x:c>
      <x:c r="H238" s="32" t="b">
        <x:v>0</x:v>
      </x:c>
      <x:c r="I238" s="24"/>
      <x:c r="J238" s="24"/>
      <x:c r="K238" s="24"/>
    </x:row>
    <x:row r="239" ht="25" customHeight="1">
      <x:c r="A239" s="24" t="str">
        <x:v>9ae71fd8-ba98-5e65-b84a-de7b1b8a5082</x:v>
      </x:c>
      <x:c r="B239" s="24" t="str">
        <x:v>联合国粮食及农业组织</x:v>
      </x:c>
      <x:c r="C239" s="24" t="str">
        <x:v>org</x:v>
      </x:c>
      <x:c r="D239" s="28" t="str">
        <x:v>{"联合国粮食及农业组织","FAO","Food and Agriculture Organization","联合国粮农组织"}</x:v>
      </x:c>
      <x:c r="E239" s="24"/>
      <x:c r="F239" s="24"/>
      <x:c r="G239" s="30" t="n">
        <x:v>0</x:v>
      </x:c>
      <x:c r="H239" s="32" t="b">
        <x:v>0</x:v>
      </x:c>
      <x:c r="I239" s="24"/>
      <x:c r="J239" s="24"/>
      <x:c r="K239" s="24"/>
    </x:row>
    <x:row r="240" ht="25" customHeight="1">
      <x:c r="A240" s="24" t="str">
        <x:v>c60cedb3-3c72-5a59-b578-ee8fa362a9a8</x:v>
      </x:c>
      <x:c r="B240" s="24" t="str">
        <x:v>FAO食品价格指数</x:v>
      </x:c>
      <x:c r="C240" s="24" t="str">
        <x:v>asset</x:v>
      </x:c>
      <x:c r="D240" s="28" t="str">
        <x:v>{"FAO食品价格指数","FAO Food Price Index","粮农组织食品价格指数"}</x:v>
      </x:c>
      <x:c r="E240" s="24"/>
      <x:c r="F240" s="24"/>
      <x:c r="G240" s="30" t="n">
        <x:v>0</x:v>
      </x:c>
      <x:c r="H240" s="32" t="b">
        <x:v>0</x:v>
      </x:c>
      <x:c r="I240" s="24"/>
      <x:c r="J240" s="24"/>
      <x:c r="K240" s="24"/>
    </x:row>
    <x:row r="241" ht="25" customHeight="1">
      <x:c r="A241" s="24" t="str">
        <x:v>790876b6-6794-544b-be48-d77ae9a6bb0b</x:v>
      </x:c>
      <x:c r="B241" s="24" t="str">
        <x:v>厄尔尼诺现象</x:v>
      </x:c>
      <x:c r="C241" s="24" t="str">
        <x:v>concept</x:v>
      </x:c>
      <x:c r="D241" s="28" t="str">
        <x:v>{"厄尔尼诺现象","El Niño","El Nino","厄尔尼诺"}</x:v>
      </x:c>
      <x:c r="E241" s="24"/>
      <x:c r="F241" s="24"/>
      <x:c r="G241" s="30" t="n">
        <x:v>0</x:v>
      </x:c>
      <x:c r="H241" s="32" t="b">
        <x:v>0</x:v>
      </x:c>
      <x:c r="I241" s="24"/>
      <x:c r="J241" s="24"/>
      <x:c r="K241" s="24"/>
    </x:row>
    <x:row r="242" ht="25" customHeight="1">
      <x:c r="A242" s="24" t="str">
        <x:v>4169ab7c-1db7-574a-9416-cde3f56bc68d</x:v>
      </x:c>
      <x:c r="B242" s="24" t="str">
        <x:v>全球小麦</x:v>
      </x:c>
      <x:c r="C242" s="24" t="str">
        <x:v>commodity</x:v>
      </x:c>
      <x:c r="D242" s="28" t="str">
        <x:v>{"全球小麦","Wheat","小麦期货","小麦"}</x:v>
      </x:c>
      <x:c r="E242" s="24"/>
      <x:c r="F242" s="24"/>
      <x:c r="G242" s="30" t="n">
        <x:v>0</x:v>
      </x:c>
      <x:c r="H242" s="32" t="b">
        <x:v>0</x:v>
      </x:c>
      <x:c r="I242" s="24"/>
      <x:c r="J242" s="24"/>
      <x:c r="K242" s="24"/>
    </x:row>
    <x:row r="243" ht="25" customHeight="1">
      <x:c r="A243" s="24" t="str">
        <x:v>c7e46283-f44f-55a1-80dc-482b32576ea5</x:v>
      </x:c>
      <x:c r="B243" s="24" t="str">
        <x:v>全球玉米</x:v>
      </x:c>
      <x:c r="C243" s="24" t="str">
        <x:v>commodity</x:v>
      </x:c>
      <x:c r="D243" s="28" t="str">
        <x:v>{"全球玉米","Corn","Maize","玉米"}</x:v>
      </x:c>
      <x:c r="E243" s="24"/>
      <x:c r="F243" s="24"/>
      <x:c r="G243" s="30" t="n">
        <x:v>0</x:v>
      </x:c>
      <x:c r="H243" s="32" t="b">
        <x:v>0</x:v>
      </x:c>
      <x:c r="I243" s="24"/>
      <x:c r="J243" s="24"/>
      <x:c r="K243" s="24"/>
    </x:row>
    <x:row r="244" ht="25" customHeight="1">
      <x:c r="A244" s="24" t="str">
        <x:v>34885a03-1526-5427-a7de-a9743a51aa80</x:v>
      </x:c>
      <x:c r="B244" s="24" t="str">
        <x:v>原糖</x:v>
      </x:c>
      <x:c r="C244" s="24" t="str">
        <x:v>commodity</x:v>
      </x:c>
      <x:c r="D244" s="28" t="str">
        <x:v>{"原糖","Raw Sugar","ICE Sugar No.11","国际糖价"}</x:v>
      </x:c>
      <x:c r="E244" s="24"/>
      <x:c r="F244" s="24"/>
      <x:c r="G244" s="30" t="n">
        <x:v>0</x:v>
      </x:c>
      <x:c r="H244" s="32" t="b">
        <x:v>0</x:v>
      </x:c>
      <x:c r="I244" s="24"/>
      <x:c r="J244" s="24"/>
      <x:c r="K244" s="24"/>
    </x:row>
    <x:row r="245" ht="25" customHeight="1">
      <x:c r="A245" s="24" t="str">
        <x:v>9ab45b60-194a-598d-8619-ac6483a3da8f</x:v>
      </x:c>
      <x:c r="B245" s="24" t="str">
        <x:v>棕榈油</x:v>
      </x:c>
      <x:c r="C245" s="24" t="str">
        <x:v>commodity</x:v>
      </x:c>
      <x:c r="D245" s="28" t="str">
        <x:v>{"棕榈油","Palm Oil","棕榈油期货"}</x:v>
      </x:c>
      <x:c r="E245" s="24"/>
      <x:c r="F245" s="24"/>
      <x:c r="G245" s="30" t="n">
        <x:v>0</x:v>
      </x:c>
      <x:c r="H245" s="32" t="b">
        <x:v>0</x:v>
      </x:c>
      <x:c r="I245" s="24"/>
      <x:c r="J245" s="24"/>
      <x:c r="K245" s="24"/>
    </x:row>
    <x:row r="246" ht="25" customHeight="1">
      <x:c r="A246" s="24" t="str">
        <x:v>c1c84667-254e-5121-92ee-309e769288b9</x:v>
      </x:c>
      <x:c r="B246" s="24" t="str">
        <x:v>黑海粮食运输</x:v>
      </x:c>
      <x:c r="C246" s="24" t="str">
        <x:v>concept</x:v>
      </x:c>
      <x:c r="D246" s="28" t="str">
        <x:v>{"黑海粮食运输","Black Sea Grain Shipping","黑海谷物运输"}</x:v>
      </x:c>
      <x:c r="E246" s="24"/>
      <x:c r="F246" s="24"/>
      <x:c r="G246" s="30" t="n">
        <x:v>0</x:v>
      </x:c>
      <x:c r="H246" s="32" t="b">
        <x:v>0</x:v>
      </x:c>
      <x:c r="I246" s="24"/>
      <x:c r="J246" s="24"/>
      <x:c r="K246" s="24"/>
    </x:row>
    <x:row r="247" ht="25" customHeight="1">
      <x:c r="A247" s="24" t="str">
        <x:v>fd37af49-08c8-5bd1-9aa9-105af711c9ec</x:v>
      </x:c>
      <x:c r="B247" s="24" t="str">
        <x:v>西蒙飓风</x:v>
      </x:c>
      <x:c r="C247" s="24" t="str">
        <x:v>concept</x:v>
      </x:c>
      <x:c r="D247" s="28" t="str">
        <x:v>{"西蒙飓风","Hurricane Simon","2026年西蒙飓风"}</x:v>
      </x:c>
      <x:c r="E247" s="24"/>
      <x:c r="F247" s="24"/>
      <x:c r="G247" s="30" t="n">
        <x:v>0</x:v>
      </x:c>
      <x:c r="H247" s="32" t="b">
        <x:v>0</x:v>
      </x:c>
      <x:c r="I247" s="24"/>
      <x:c r="J247" s="24"/>
      <x:c r="K247" s="24"/>
    </x:row>
    <x:row r="248" ht="25" customHeight="1">
      <x:c r="A248" s="24" t="str">
        <x:v>9d1b3f3e-39d3-5ffb-a1b0-48a36019c351</x:v>
      </x:c>
      <x:c r="B248" s="24" t="str">
        <x:v>墨西哥太平洋沿岸</x:v>
      </x:c>
      <x:c r="C248" s="24" t="str">
        <x:v>place</x:v>
      </x:c>
      <x:c r="D248" s="28" t="str">
        <x:v>{"墨西哥太平洋沿岸","Mexico Pacific Coast","墨西哥西岸"}</x:v>
      </x:c>
      <x:c r="E248" s="24"/>
      <x:c r="F248" s="24"/>
      <x:c r="G248" s="30" t="n">
        <x:v>0</x:v>
      </x:c>
      <x:c r="H248" s="32" t="b">
        <x:v>0</x:v>
      </x:c>
      <x:c r="I248" s="24"/>
      <x:c r="J248" s="24"/>
      <x:c r="K248" s="24"/>
    </x:row>
    <x:row r="249" ht="25" customHeight="1">
      <x:c r="A249" s="24" t="str">
        <x:v>dd718b4e-8ae7-5887-8ec8-2cdba8a3ac90</x:v>
      </x:c>
      <x:c r="B249" s="24" t="str">
        <x:v>曼萨尼约港</x:v>
      </x:c>
      <x:c r="C249" s="24" t="str">
        <x:v>place</x:v>
      </x:c>
      <x:c r="D249" s="28" t="str">
        <x:v>{"曼萨尼约港","Port of Manzanillo","Manzanillo Mexico","墨西哥曼萨尼约港"}</x:v>
      </x:c>
      <x:c r="E249" s="24"/>
      <x:c r="F249" s="24"/>
      <x:c r="G249" s="30" t="n">
        <x:v>0</x:v>
      </x:c>
      <x:c r="H249" s="32" t="b">
        <x:v>0</x:v>
      </x:c>
      <x:c r="I249" s="24"/>
      <x:c r="J249" s="24"/>
      <x:c r="K249" s="24"/>
    </x:row>
    <x:row r="250" ht="25" customHeight="1">
      <x:c r="A250" s="24" t="str">
        <x:v>05399bf7-89c4-5206-a6f1-88240ff4c8cd</x:v>
      </x:c>
      <x:c r="B250" s="24" t="str">
        <x:v>巨灾保险</x:v>
      </x:c>
      <x:c r="C250" s="24" t="str">
        <x:v>concept</x:v>
      </x:c>
      <x:c r="D250" s="28" t="str">
        <x:v>{"巨灾保险","Catastrophe Insurance","灾害保险"}</x:v>
      </x:c>
      <x:c r="E250" s="24"/>
      <x:c r="F250" s="24"/>
      <x:c r="G250" s="30" t="n">
        <x:v>0</x:v>
      </x:c>
      <x:c r="H250" s="32" t="b">
        <x:v>0</x:v>
      </x:c>
      <x:c r="I250" s="24"/>
      <x:c r="J250" s="24"/>
      <x:c r="K250" s="24"/>
    </x:row>
    <x:row r="251" ht="25" customHeight="1">
      <x:c r="A251" s="24" t="str">
        <x:v>21c3edb6-51fd-569f-911f-950139cca1ce</x:v>
      </x:c>
      <x:c r="B251" s="24" t="str">
        <x:v>再保险市场</x:v>
      </x:c>
      <x:c r="C251" s="24" t="str">
        <x:v>concept</x:v>
      </x:c>
      <x:c r="D251" s="28" t="str">
        <x:v>{"再保险市场","Reinsurance Market","再保险"}</x:v>
      </x:c>
      <x:c r="E251" s="24"/>
      <x:c r="F251" s="24"/>
      <x:c r="G251" s="30" t="n">
        <x:v>0</x:v>
      </x:c>
      <x:c r="H251" s="32" t="b">
        <x:v>0</x:v>
      </x:c>
      <x:c r="I251" s="24"/>
      <x:c r="J251" s="24"/>
      <x:c r="K251" s="24"/>
    </x:row>
    <x:row r="252" ht="25" customHeight="1">
      <x:c r="A252" s="24" t="str">
        <x:v>ab638123-8c90-5c14-a22b-9d4fbd0c6f83</x:v>
      </x:c>
      <x:c r="B252" s="24" t="str">
        <x:v>美国</x:v>
      </x:c>
      <x:c r="C252" s="24" t="str">
        <x:v>place</x:v>
      </x:c>
      <x:c r="D252" s="28" t="str">
        <x:v>{"美国","United States","USA","U.S.","美利坚合众国"}</x:v>
      </x:c>
      <x:c r="E252" s="24"/>
      <x:c r="F252" s="24"/>
      <x:c r="G252" s="30" t="n">
        <x:v>0</x:v>
      </x:c>
      <x:c r="H252" s="32" t="b">
        <x:v>1</x:v>
      </x:c>
      <x:c r="I252" s="24"/>
      <x:c r="J252" s="24"/>
      <x:c r="K252" s="24"/>
    </x:row>
    <x:row r="253" ht="25" customHeight="1">
      <x:c r="A253" s="24" t="str">
        <x:v>e9f5e54c-e23d-5643-b246-c87f99431603</x:v>
      </x:c>
      <x:c r="B253" s="24" t="str">
        <x:v>中国</x:v>
      </x:c>
      <x:c r="C253" s="24" t="str">
        <x:v>place</x:v>
      </x:c>
      <x:c r="D253" s="28" t="str">
        <x:v>{"中国","China","PRC","中华人民共和国"}</x:v>
      </x:c>
      <x:c r="E253" s="24"/>
      <x:c r="F253" s="24"/>
      <x:c r="G253" s="30" t="n">
        <x:v>0</x:v>
      </x:c>
      <x:c r="H253" s="32" t="b">
        <x:v>1</x:v>
      </x:c>
      <x:c r="I253" s="24"/>
      <x:c r="J253" s="24"/>
      <x:c r="K253" s="24"/>
    </x:row>
    <x:row r="254" ht="25" customHeight="1">
      <x:c r="A254" s="24" t="str">
        <x:v>1d129516-ca95-5162-951b-29ccd26321e0</x:v>
      </x:c>
      <x:c r="B254" s="24" t="str">
        <x:v>欧洲</x:v>
      </x:c>
      <x:c r="C254" s="24" t="str">
        <x:v>place</x:v>
      </x:c>
      <x:c r="D254" s="28" t="str">
        <x:v>{"欧洲","Europe"}</x:v>
      </x:c>
      <x:c r="E254" s="24"/>
      <x:c r="F254" s="24"/>
      <x:c r="G254" s="30" t="n">
        <x:v>0</x:v>
      </x:c>
      <x:c r="H254" s="32" t="b">
        <x:v>1</x:v>
      </x:c>
      <x:c r="I254" s="24"/>
      <x:c r="J254" s="24"/>
      <x:c r="K254" s="24"/>
    </x:row>
    <x:row r="255" ht="25" customHeight="1">
      <x:c r="A255" s="24" t="str">
        <x:v>c789cac5-bce6-5c38-ad8d-173c7ab79f32</x:v>
      </x:c>
      <x:c r="B255" s="24" t="str">
        <x:v>日本</x:v>
      </x:c>
      <x:c r="C255" s="24" t="str">
        <x:v>place</x:v>
      </x:c>
      <x:c r="D255" s="28" t="str">
        <x:v>{"日本","Japan"}</x:v>
      </x:c>
      <x:c r="E255" s="24"/>
      <x:c r="F255" s="24"/>
      <x:c r="G255" s="30" t="n">
        <x:v>0</x:v>
      </x:c>
      <x:c r="H255" s="32" t="b">
        <x:v>1</x:v>
      </x:c>
      <x:c r="I255" s="24"/>
      <x:c r="J255" s="24"/>
      <x:c r="K255" s="24"/>
    </x:row>
    <x:row r="256" ht="25" customHeight="1">
      <x:c r="A256" s="24" t="str">
        <x:v>8b72a635-05d0-5c95-84da-df9433f23501</x:v>
      </x:c>
      <x:c r="B256" s="24" t="str">
        <x:v>全球</x:v>
      </x:c>
      <x:c r="C256" s="24" t="str">
        <x:v>concept</x:v>
      </x:c>
      <x:c r="D256" s="28" t="str">
        <x:v>{"全球","Global","Worldwide","全球范围"}</x:v>
      </x:c>
      <x:c r="E256" s="24"/>
      <x:c r="F256" s="24"/>
      <x:c r="G256" s="30" t="n">
        <x:v>0</x:v>
      </x:c>
      <x:c r="H256" s="32" t="b">
        <x:v>1</x:v>
      </x:c>
      <x:c r="I256" s="24"/>
      <x:c r="J256" s="24"/>
      <x:c r="K256" s="24"/>
    </x:row>
    <x:row r="257" ht="25" customHeight="1">
      <x:c r="A257" s="24" t="str">
        <x:v>070c103b-8319-53bf-8ca8-6123fb344c2c</x:v>
      </x:c>
      <x:c r="B257" s="24" t="str">
        <x:v>市场</x:v>
      </x:c>
      <x:c r="C257" s="24" t="str">
        <x:v>concept</x:v>
      </x:c>
      <x:c r="D257" s="28" t="str">
        <x:v>{"市场","Market","市场行情"}</x:v>
      </x:c>
      <x:c r="E257" s="24"/>
      <x:c r="F257" s="24"/>
      <x:c r="G257" s="30" t="n">
        <x:v>0</x:v>
      </x:c>
      <x:c r="H257" s="32" t="b">
        <x:v>1</x:v>
      </x:c>
      <x:c r="I257" s="24"/>
      <x:c r="J257" s="24"/>
      <x:c r="K257" s="24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2da14a48acb44be"/>
  </x:tableParts>
</x:worksheet>
</file>

<file path=xl/worksheets/sheet3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14" hidden="0" customWidth="1"/>
    <x:col min="3" max="3" width="25" hidden="0" customWidth="1"/>
    <x:col min="4" max="4" width="27" hidden="0" customWidth="1"/>
    <x:col min="5" max="5" width="42" hidden="0" customWidth="1"/>
    <x:col min="6" max="6" width="43" hidden="0" customWidth="1"/>
    <x:col min="7" max="7" width="12" hidden="0" customWidth="1"/>
    <x:col min="8" max="8" width="18" hidden="0" customWidth="1"/>
    <x:col min="9" max="9" width="45" hidden="0" customWidth="1"/>
    <x:col min="10" max="10" width="29" hidden="0" customWidth="1"/>
    <x:col min="11" max="11" width="29" hidden="0" customWidth="1"/>
  </x:cols>
  <x:sheetData>
    <x:row r="1" ht="41" customHeight="1">
      <x:c r="A1" s="4" t="str">
        <x:v>实体研究说明 · 人工校验视图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0" customHeight="1">
      <x:c r="A2" s="10" t="str">
        <x:v>研究用途：一行一实体，新闻链接仅支撑主题选择；描述未写入当前 entities DB（当前无 description 列）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9" customHeight="1"/>
    <x:row r="5" ht="31" customHeight="1">
      <x:c r="A5" s="19" t="str">
        <x:v>canonical_name</x:v>
      </x:c>
      <x:c r="B5" s="19" t="str">
        <x:v>entity_type</x:v>
      </x:c>
      <x:c r="C5" s="19" t="str">
        <x:v>新闻主题</x:v>
      </x:c>
      <x:c r="D5" s="19" t="str">
        <x:v>传导机制</x:v>
      </x:c>
      <x:c r="E5" s="19" t="str">
        <x:v>实体简介（≤200字）</x:v>
      </x:c>
      <x:c r="F5" s="19" t="str">
        <x:v>别名列表（JSON）</x:v>
      </x:c>
      <x:c r="G5" s="19" t="str">
        <x:v>泛化排除</x:v>
      </x:c>
      <x:c r="H5" s="19" t="str">
        <x:v>新闻主题来源日期</x:v>
      </x:c>
      <x:c r="I5" s="19" t="str">
        <x:v>主题来源URL</x:v>
      </x:c>
      <x:c r="J5" s="19" t="str">
        <x:v>来源性质</x:v>
      </x:c>
      <x:c r="K5" s="19" t="str">
        <x:v>名称规范化提示</x:v>
      </x:c>
    </x:row>
    <x:row r="6" ht="29" customHeight="1">
      <x:c r="A6" s="24" t="str">
        <x:v>胡塞武装</x:v>
      </x:c>
      <x:c r="B6" s="24" t="str">
        <x:v>org</x:v>
      </x:c>
      <x:c r="C6" s="24" t="str">
        <x:v>也门与红海军事</x:v>
      </x:c>
      <x:c r="D6" s="24" t="str">
        <x:v>military_control</x:v>
      </x:c>
      <x:c r="E6" s="50" t="str">
        <x:v>也门武装政治组织，涉及红海航道袭扰与地区军事对抗。</x:v>
      </x:c>
      <x:c r="F6" s="24" t="str">
        <x:v>["胡塞武装", "Houthi", "Houthis", "安拉拥护者", "也门胡塞"]</x:v>
      </x:c>
      <x:c r="G6" s="25" t="b">
        <x:v>0</x:v>
      </x:c>
      <x:c r="H6" s="24" t="str">
        <x:v>2026-10-07</x:v>
      </x:c>
      <x:c r="I6" s="28" t="str">
        <x:v>https://www.reuters.com/world/middle-east/wars-explosive-new-front-2026-10-07/</x:v>
      </x:c>
      <x:c r="J6" s="24" t="str">
        <x:v>主题相关性；不证明逐实体出现</x:v>
      </x:c>
      <x:c r="K6" s="24" t="str">
        <x:v>—</x:v>
      </x:c>
    </x:row>
    <x:row r="7" ht="29" customHeight="1">
      <x:c r="A7" s="24" t="str">
        <x:v>也门政府军</x:v>
      </x:c>
      <x:c r="B7" s="24" t="str">
        <x:v>org</x:v>
      </x:c>
      <x:c r="C7" s="24" t="str">
        <x:v>也门与红海军事</x:v>
      </x:c>
      <x:c r="D7" s="24" t="str">
        <x:v>military_control</x:v>
      </x:c>
      <x:c r="E7" s="50" t="str">
        <x:v>参与也门局势的政府阵营武装，影响沿海控制权。</x:v>
      </x:c>
      <x:c r="F7" s="24" t="str">
        <x:v>["也门政府军", "Yemeni government forces", "也门亲政府部队"]</x:v>
      </x:c>
      <x:c r="G7" s="25" t="b">
        <x:v>0</x:v>
      </x:c>
      <x:c r="H7" s="24" t="str">
        <x:v>2026-10-07</x:v>
      </x:c>
      <x:c r="I7" s="28" t="str">
        <x:v>https://www.reuters.com/world/middle-east/wars-explosive-new-front-2026-10-07/</x:v>
      </x:c>
      <x:c r="J7" s="24" t="str">
        <x:v>主题相关性；不证明逐实体出现</x:v>
      </x:c>
      <x:c r="K7" s="24" t="str">
        <x:v>—</x:v>
      </x:c>
    </x:row>
    <x:row r="8" ht="29" customHeight="1">
      <x:c r="A8" s="24" t="str">
        <x:v>沙特武装部队</x:v>
      </x:c>
      <x:c r="B8" s="24" t="str">
        <x:v>org</x:v>
      </x:c>
      <x:c r="C8" s="24" t="str">
        <x:v>也门与红海军事</x:v>
      </x:c>
      <x:c r="D8" s="24" t="str">
        <x:v>military_control</x:v>
      </x:c>
      <x:c r="E8" s="50" t="str">
        <x:v>沙特国家军事力量，与也门边境和红海安全相关。</x:v>
      </x:c>
      <x:c r="F8" s="24" t="str">
        <x:v>["沙特武装部队", "Saudi Armed Forces", "沙特军队"]</x:v>
      </x:c>
      <x:c r="G8" s="25" t="b">
        <x:v>0</x:v>
      </x:c>
      <x:c r="H8" s="24" t="str">
        <x:v>2026-10-07</x:v>
      </x:c>
      <x:c r="I8" s="28" t="str">
        <x:v>https://www.reuters.com/world/middle-east/wars-explosive-new-front-2026-10-07/</x:v>
      </x:c>
      <x:c r="J8" s="24" t="str">
        <x:v>主题相关性；不证明逐实体出现</x:v>
      </x:c>
      <x:c r="K8" s="24" t="str">
        <x:v>—</x:v>
      </x:c>
    </x:row>
    <x:row r="9" ht="29" customHeight="1">
      <x:c r="A9" s="24" t="str">
        <x:v>伊朗伊斯兰革命卫队</x:v>
      </x:c>
      <x:c r="B9" s="24" t="str">
        <x:v>org</x:v>
      </x:c>
      <x:c r="C9" s="24" t="str">
        <x:v>也门与红海军事</x:v>
      </x:c>
      <x:c r="D9" s="24" t="str">
        <x:v>military_control</x:v>
      </x:c>
      <x:c r="E9" s="50" t="str">
        <x:v>伊朗军事机构，牵涉地区安全与制裁研究。</x:v>
      </x:c>
      <x:c r="F9" s="24" t="str">
        <x:v>["伊朗伊斯兰革命卫队", "IRGC", "Islamic Revolutionary Guard Corps", "革命卫队"]</x:v>
      </x:c>
      <x:c r="G9" s="25" t="b">
        <x:v>0</x:v>
      </x:c>
      <x:c r="H9" s="24" t="str">
        <x:v>2026-10-07</x:v>
      </x:c>
      <x:c r="I9" s="28" t="str">
        <x:v>https://www.reuters.com/world/middle-east/wars-explosive-new-front-2026-10-07/</x:v>
      </x:c>
      <x:c r="J9" s="24" t="str">
        <x:v>主题相关性；不证明逐实体出现</x:v>
      </x:c>
      <x:c r="K9" s="24" t="str">
        <x:v>—</x:v>
      </x:c>
    </x:row>
    <x:row r="10" ht="29" customHeight="1">
      <x:c r="A10" s="24" t="str">
        <x:v>沙特阿拉伯</x:v>
      </x:c>
      <x:c r="B10" s="24" t="str">
        <x:v>place</x:v>
      </x:c>
      <x:c r="C10" s="24" t="str">
        <x:v>也门与红海军事</x:v>
      </x:c>
      <x:c r="D10" s="24" t="str">
        <x:v>military_control</x:v>
      </x:c>
      <x:c r="E10" s="50" t="str">
        <x:v>中东主要产油国，油气运输和地区安全关键节点。</x:v>
      </x:c>
      <x:c r="F10" s="24" t="str">
        <x:v>["沙特阿拉伯", "Saudi Arabia", "沙特"]</x:v>
      </x:c>
      <x:c r="G10" s="25" t="b">
        <x:v>0</x:v>
      </x:c>
      <x:c r="H10" s="24" t="str">
        <x:v>2026-10-07</x:v>
      </x:c>
      <x:c r="I10" s="28" t="str">
        <x:v>https://www.reuters.com/world/middle-east/wars-explosive-new-front-2026-10-07/</x:v>
      </x:c>
      <x:c r="J10" s="24" t="str">
        <x:v>主题相关性；不证明逐实体出现</x:v>
      </x:c>
      <x:c r="K10" s="24" t="str">
        <x:v>—</x:v>
      </x:c>
    </x:row>
    <x:row r="11" ht="29" customHeight="1">
      <x:c r="A11" s="24" t="str">
        <x:v>也门</x:v>
      </x:c>
      <x:c r="B11" s="24" t="str">
        <x:v>place</x:v>
      </x:c>
      <x:c r="C11" s="24" t="str">
        <x:v>也门与红海军事</x:v>
      </x:c>
      <x:c r="D11" s="24" t="str">
        <x:v>military_control</x:v>
      </x:c>
      <x:c r="E11" s="50" t="str">
        <x:v>阿拉伯半岛国家，沿海港口与陆地控制权影响航运安全。</x:v>
      </x:c>
      <x:c r="F11" s="24" t="str">
        <x:v>["也门", "Yemen", "也门共和国"]</x:v>
      </x:c>
      <x:c r="G11" s="25" t="b">
        <x:v>0</x:v>
      </x:c>
      <x:c r="H11" s="24" t="str">
        <x:v>2026-10-07</x:v>
      </x:c>
      <x:c r="I11" s="28" t="str">
        <x:v>https://www.reuters.com/world/middle-east/wars-explosive-new-front-2026-10-07/</x:v>
      </x:c>
      <x:c r="J11" s="24" t="str">
        <x:v>主题相关性；不证明逐实体出现</x:v>
      </x:c>
      <x:c r="K11" s="24" t="str">
        <x:v>—</x:v>
      </x:c>
    </x:row>
    <x:row r="12" ht="29" customHeight="1">
      <x:c r="A12" s="24" t="str">
        <x:v>曼德海峡</x:v>
      </x:c>
      <x:c r="B12" s="24" t="str">
        <x:v>place</x:v>
      </x:c>
      <x:c r="C12" s="24" t="str">
        <x:v>也门与红海军事</x:v>
      </x:c>
      <x:c r="D12" s="24" t="str">
        <x:v>military_control</x:v>
      </x:c>
      <x:c r="E12" s="50" t="str">
        <x:v>红海与亚丁湾之间的关键航运咽喉。</x:v>
      </x:c>
      <x:c r="F12" s="24" t="str">
        <x:v>["曼德海峡", "Bab el-Mandeb", "Bab al-Mandab", "曼德海峽", "曼德海峡水道"]</x:v>
      </x:c>
      <x:c r="G12" s="25" t="b">
        <x:v>0</x:v>
      </x:c>
      <x:c r="H12" s="24" t="str">
        <x:v>2026-10-07</x:v>
      </x:c>
      <x:c r="I12" s="28" t="str">
        <x:v>https://www.reuters.com/world/middle-east/wars-explosive-new-front-2026-10-07/</x:v>
      </x:c>
      <x:c r="J12" s="24" t="str">
        <x:v>主题相关性；不证明逐实体出现</x:v>
      </x:c>
      <x:c r="K12" s="24" t="str">
        <x:v>—</x:v>
      </x:c>
    </x:row>
    <x:row r="13" ht="29" customHeight="1">
      <x:c r="A13" s="24" t="str">
        <x:v>穆哈港</x:v>
      </x:c>
      <x:c r="B13" s="24" t="str">
        <x:v>place</x:v>
      </x:c>
      <x:c r="C13" s="24" t="str">
        <x:v>也门与红海军事</x:v>
      </x:c>
      <x:c r="D13" s="24" t="str">
        <x:v>military_control</x:v>
      </x:c>
      <x:c r="E13" s="50" t="str">
        <x:v>也门红海沿岸港口，具有航运和军事地理意义。</x:v>
      </x:c>
      <x:c r="F13" s="24" t="str">
        <x:v>["穆哈港", "Mocha", "Mokha", "摩卡港"]</x:v>
      </x:c>
      <x:c r="G13" s="25" t="b">
        <x:v>0</x:v>
      </x:c>
      <x:c r="H13" s="24" t="str">
        <x:v>2026-10-07</x:v>
      </x:c>
      <x:c r="I13" s="28" t="str">
        <x:v>https://www.reuters.com/world/middle-east/wars-explosive-new-front-2026-10-07/</x:v>
      </x:c>
      <x:c r="J13" s="24" t="str">
        <x:v>主题相关性；不证明逐实体出现</x:v>
      </x:c>
      <x:c r="K13" s="24" t="str">
        <x:v>—</x:v>
      </x:c>
    </x:row>
    <x:row r="14" ht="29" customHeight="1">
      <x:c r="A14" s="24" t="str">
        <x:v>丕林岛</x:v>
      </x:c>
      <x:c r="B14" s="24" t="str">
        <x:v>place</x:v>
      </x:c>
      <x:c r="C14" s="24" t="str">
        <x:v>也门与红海军事</x:v>
      </x:c>
      <x:c r="D14" s="24" t="str">
        <x:v>military_control</x:v>
      </x:c>
      <x:c r="E14" s="50" t="str">
        <x:v>曼德海峡中的战略岛屿，与海峡通行相关。</x:v>
      </x:c>
      <x:c r="F14" s="24" t="str">
        <x:v>["丕林岛", "Perim Island", "Mayyun Island", "迈云岛"]</x:v>
      </x:c>
      <x:c r="G14" s="25" t="b">
        <x:v>0</x:v>
      </x:c>
      <x:c r="H14" s="24" t="str">
        <x:v>2026-10-07</x:v>
      </x:c>
      <x:c r="I14" s="28" t="str">
        <x:v>https://www.reuters.com/world/middle-east/wars-explosive-new-front-2026-10-07/</x:v>
      </x:c>
      <x:c r="J14" s="24" t="str">
        <x:v>主题相关性；不证明逐实体出现</x:v>
      </x:c>
      <x:c r="K14" s="24" t="str">
        <x:v>—</x:v>
      </x:c>
    </x:row>
    <x:row r="15" ht="29" customHeight="1">
      <x:c r="A15" s="24" t="str">
        <x:v>荷台达港</x:v>
      </x:c>
      <x:c r="B15" s="24" t="str">
        <x:v>place</x:v>
      </x:c>
      <x:c r="C15" s="24" t="str">
        <x:v>也门与红海军事</x:v>
      </x:c>
      <x:c r="D15" s="24" t="str">
        <x:v>military_control</x:v>
      </x:c>
      <x:c r="E15" s="50" t="str">
        <x:v>也门红海港口，影响补给和人道运输。</x:v>
      </x:c>
      <x:c r="F15" s="24" t="str">
        <x:v>["荷台达港", "Hodeidah", "Hudaydah", "荷台达"]</x:v>
      </x:c>
      <x:c r="G15" s="25" t="b">
        <x:v>0</x:v>
      </x:c>
      <x:c r="H15" s="24" t="str">
        <x:v>2026-10-07</x:v>
      </x:c>
      <x:c r="I15" s="28" t="str">
        <x:v>https://www.reuters.com/world/middle-east/wars-explosive-new-front-2026-10-07/</x:v>
      </x:c>
      <x:c r="J15" s="24" t="str">
        <x:v>主题相关性；不证明逐实体出现</x:v>
      </x:c>
      <x:c r="K15" s="24" t="str">
        <x:v>—</x:v>
      </x:c>
    </x:row>
    <x:row r="16" ht="29" customHeight="1">
      <x:c r="A16" s="24" t="str">
        <x:v>亚丁湾</x:v>
      </x:c>
      <x:c r="B16" s="24" t="str">
        <x:v>place</x:v>
      </x:c>
      <x:c r="C16" s="24" t="str">
        <x:v>也门与红海军事</x:v>
      </x:c>
      <x:c r="D16" s="24" t="str">
        <x:v>military_control</x:v>
      </x:c>
      <x:c r="E16" s="50" t="str">
        <x:v>连接阿拉伯海和曼德海峡的航运区域。</x:v>
      </x:c>
      <x:c r="F16" s="24" t="str">
        <x:v>["亚丁湾", "Gulf of Aden"]</x:v>
      </x:c>
      <x:c r="G16" s="25" t="b">
        <x:v>0</x:v>
      </x:c>
      <x:c r="H16" s="24" t="str">
        <x:v>2026-10-07</x:v>
      </x:c>
      <x:c r="I16" s="28" t="str">
        <x:v>https://www.reuters.com/world/middle-east/wars-explosive-new-front-2026-10-07/</x:v>
      </x:c>
      <x:c r="J16" s="24" t="str">
        <x:v>主题相关性；不证明逐实体出现</x:v>
      </x:c>
      <x:c r="K16" s="24" t="str">
        <x:v>—</x:v>
      </x:c>
    </x:row>
    <x:row r="17" ht="29" customHeight="1">
      <x:c r="A17" s="24" t="str">
        <x:v>红海</x:v>
      </x:c>
      <x:c r="B17" s="24" t="str">
        <x:v>place</x:v>
      </x:c>
      <x:c r="C17" s="24" t="str">
        <x:v>也门与红海军事</x:v>
      </x:c>
      <x:c r="D17" s="24" t="str">
        <x:v>military_control</x:v>
      </x:c>
      <x:c r="E17" s="50" t="str">
        <x:v>连接苏伊士运河与曼德海峡的国际航运海域。</x:v>
      </x:c>
      <x:c r="F17" s="24" t="str">
        <x:v>["红海", "Red Sea"]</x:v>
      </x:c>
      <x:c r="G17" s="25" t="b">
        <x:v>0</x:v>
      </x:c>
      <x:c r="H17" s="24" t="str">
        <x:v>2026-10-07</x:v>
      </x:c>
      <x:c r="I17" s="28" t="str">
        <x:v>https://www.reuters.com/world/middle-east/wars-explosive-new-front-2026-10-07/</x:v>
      </x:c>
      <x:c r="J17" s="24" t="str">
        <x:v>主题相关性；不证明逐实体出现</x:v>
      </x:c>
      <x:c r="K17" s="24" t="str">
        <x:v>—</x:v>
      </x:c>
    </x:row>
    <x:row r="18" ht="29" customHeight="1">
      <x:c r="A18" s="24" t="str">
        <x:v>苏伊士运河</x:v>
      </x:c>
      <x:c r="B18" s="24" t="str">
        <x:v>place</x:v>
      </x:c>
      <x:c r="C18" s="24" t="str">
        <x:v>航运中断与风险溢价</x:v>
      </x:c>
      <x:c r="D18" s="24" t="str">
        <x:v>shipping_disruption</x:v>
      </x:c>
      <x:c r="E18" s="50" t="str">
        <x:v>亚欧贸易关键人工航道，影响绕行与运价。</x:v>
      </x:c>
      <x:c r="F18" s="24" t="str">
        <x:v>["苏伊士运河", "Suez Canal", "苏伊士航道"]</x:v>
      </x:c>
      <x:c r="G18" s="25" t="b">
        <x:v>0</x:v>
      </x:c>
      <x:c r="H18" s="24" t="str">
        <x:v>2026-10-12</x:v>
      </x:c>
      <x:c r="I18" s="28" t="str">
        <x:v>https://www.reuters.com/business/energy/shipping-insurance-costs-energy-flows-surge-opec-non-opec-ministers-say-2026-10-12/</x:v>
      </x:c>
      <x:c r="J18" s="24" t="str">
        <x:v>主题相关性；不证明逐实体出现</x:v>
      </x:c>
      <x:c r="K18" s="24" t="str">
        <x:v>—</x:v>
      </x:c>
    </x:row>
    <x:row r="19" ht="29" customHeight="1">
      <x:c r="A19" s="24" t="str">
        <x:v>好望角航线</x:v>
      </x:c>
      <x:c r="B19" s="24" t="str">
        <x:v>place</x:v>
      </x:c>
      <x:c r="C19" s="24" t="str">
        <x:v>航运中断与风险溢价</x:v>
      </x:c>
      <x:c r="D19" s="24" t="str">
        <x:v>shipping_disruption</x:v>
      </x:c>
      <x:c r="E19" s="50" t="str">
        <x:v>红海通行受阻时重要远洋替代航路。</x:v>
      </x:c>
      <x:c r="F19" s="24" t="str">
        <x:v>["好望角航线", "Cape of Good Hope route", "好望角绕行"]</x:v>
      </x:c>
      <x:c r="G19" s="25" t="b">
        <x:v>0</x:v>
      </x:c>
      <x:c r="H19" s="24" t="str">
        <x:v>2026-10-12</x:v>
      </x:c>
      <x:c r="I19" s="28" t="str">
        <x:v>https://www.reuters.com/business/energy/shipping-insurance-costs-energy-flows-surge-opec-non-opec-ministers-say-2026-10-12/</x:v>
      </x:c>
      <x:c r="J19" s="24" t="str">
        <x:v>主题相关性；不证明逐实体出现</x:v>
      </x:c>
      <x:c r="K19" s="24" t="str">
        <x:v>—</x:v>
      </x:c>
    </x:row>
    <x:row r="20" ht="29" customHeight="1">
      <x:c r="A20" s="24" t="str">
        <x:v>马士基</x:v>
      </x:c>
      <x:c r="B20" s="24" t="str">
        <x:v>org</x:v>
      </x:c>
      <x:c r="C20" s="24" t="str">
        <x:v>航运中断与风险溢价</x:v>
      </x:c>
      <x:c r="D20" s="24" t="str">
        <x:v>shipping_disruption</x:v>
      </x:c>
      <x:c r="E20" s="50" t="str">
        <x:v>全球集装箱航运企业，航线安排可观察风险传导。</x:v>
      </x:c>
      <x:c r="F20" s="24" t="str">
        <x:v>["马士基", "Maersk", "A.P. Moller-Maersk", "穆勒马士基"]</x:v>
      </x:c>
      <x:c r="G20" s="25" t="b">
        <x:v>0</x:v>
      </x:c>
      <x:c r="H20" s="24" t="str">
        <x:v>2026-10-12</x:v>
      </x:c>
      <x:c r="I20" s="28" t="str">
        <x:v>https://www.reuters.com/business/energy/shipping-insurance-costs-energy-flows-surge-opec-non-opec-ministers-say-2026-10-12/</x:v>
      </x:c>
      <x:c r="J20" s="24" t="str">
        <x:v>主题相关性；不证明逐实体出现</x:v>
      </x:c>
      <x:c r="K20" s="24" t="str">
        <x:v>—</x:v>
      </x:c>
    </x:row>
    <x:row r="21" ht="29" customHeight="1">
      <x:c r="A21" s="24" t="str">
        <x:v>赫伯罗特</x:v>
      </x:c>
      <x:c r="B21" s="24" t="str">
        <x:v>org</x:v>
      </x:c>
      <x:c r="C21" s="24" t="str">
        <x:v>航运中断与风险溢价</x:v>
      </x:c>
      <x:c r="D21" s="24" t="str">
        <x:v>shipping_disruption</x:v>
      </x:c>
      <x:c r="E21" s="50" t="str">
        <x:v>全球集装箱航运企业，绕航决策影响有效运力。</x:v>
      </x:c>
      <x:c r="F21" s="24" t="str">
        <x:v>["赫伯罗特", "Hapag-Lloyd", "赫伯罗特航运"]</x:v>
      </x:c>
      <x:c r="G21" s="25" t="b">
        <x:v>0</x:v>
      </x:c>
      <x:c r="H21" s="24" t="str">
        <x:v>2026-10-12</x:v>
      </x:c>
      <x:c r="I21" s="28" t="str">
        <x:v>https://www.reuters.com/business/energy/shipping-insurance-costs-energy-flows-surge-opec-non-opec-ministers-say-2026-10-12/</x:v>
      </x:c>
      <x:c r="J21" s="24" t="str">
        <x:v>主题相关性；不证明逐实体出现</x:v>
      </x:c>
      <x:c r="K21" s="24" t="str">
        <x:v>—</x:v>
      </x:c>
    </x:row>
    <x:row r="22" ht="29" customHeight="1">
      <x:c r="A22" s="24" t="str">
        <x:v>地中海航运</x:v>
      </x:c>
      <x:c r="B22" s="24" t="str">
        <x:v>org</x:v>
      </x:c>
      <x:c r="C22" s="24" t="str">
        <x:v>航运中断与风险溢价</x:v>
      </x:c>
      <x:c r="D22" s="24" t="str">
        <x:v>shipping_disruption</x:v>
      </x:c>
      <x:c r="E22" s="50" t="str">
        <x:v>国际集装箱航运公司，运力与航线调整具市场意义。</x:v>
      </x:c>
      <x:c r="F22" s="24" t="str">
        <x:v>["地中海航运", "MSC", "Mediterranean Shipping Company"]</x:v>
      </x:c>
      <x:c r="G22" s="25" t="b">
        <x:v>0</x:v>
      </x:c>
      <x:c r="H22" s="24" t="str">
        <x:v>2026-10-12</x:v>
      </x:c>
      <x:c r="I22" s="28" t="str">
        <x:v>https://www.reuters.com/business/energy/shipping-insurance-costs-energy-flows-surge-opec-non-opec-ministers-say-2026-10-12/</x:v>
      </x:c>
      <x:c r="J22" s="24" t="str">
        <x:v>主题相关性；不证明逐实体出现</x:v>
      </x:c>
      <x:c r="K22" s="24" t="str">
        <x:v>—</x:v>
      </x:c>
    </x:row>
    <x:row r="23" ht="29" customHeight="1">
      <x:c r="A23" s="24" t="str">
        <x:v>达飞海运</x:v>
      </x:c>
      <x:c r="B23" s="24" t="str">
        <x:v>org</x:v>
      </x:c>
      <x:c r="C23" s="24" t="str">
        <x:v>航运中断与风险溢价</x:v>
      </x:c>
      <x:c r="D23" s="24" t="str">
        <x:v>shipping_disruption</x:v>
      </x:c>
      <x:c r="E23" s="50" t="str">
        <x:v>国际集装箱航运集团，与亚欧贸易运输相关。</x:v>
      </x:c>
      <x:c r="F23" s="24" t="str">
        <x:v>["达飞海运", "CMA CGM", "法国达飞"]</x:v>
      </x:c>
      <x:c r="G23" s="25" t="b">
        <x:v>0</x:v>
      </x:c>
      <x:c r="H23" s="24" t="str">
        <x:v>2026-10-12</x:v>
      </x:c>
      <x:c r="I23" s="28" t="str">
        <x:v>https://www.reuters.com/business/energy/shipping-insurance-costs-energy-flows-surge-opec-non-opec-ministers-say-2026-10-12/</x:v>
      </x:c>
      <x:c r="J23" s="24" t="str">
        <x:v>主题相关性；不证明逐实体出现</x:v>
      </x:c>
      <x:c r="K23" s="24" t="str">
        <x:v>—</x:v>
      </x:c>
    </x:row>
    <x:row r="24" ht="29" customHeight="1">
      <x:c r="A24" s="24" t="str">
        <x:v>波罗的海交易所</x:v>
      </x:c>
      <x:c r="B24" s="24" t="str">
        <x:v>org</x:v>
      </x:c>
      <x:c r="C24" s="24" t="str">
        <x:v>航运中断与风险溢价</x:v>
      </x:c>
      <x:c r="D24" s="24" t="str">
        <x:v>shipping_disruption</x:v>
      </x:c>
      <x:c r="E24" s="50" t="str">
        <x:v>发布多类海运运价基准的行业机构。</x:v>
      </x:c>
      <x:c r="F24" s="24" t="str">
        <x:v>["波罗的海交易所", "Baltic Exchange"]</x:v>
      </x:c>
      <x:c r="G24" s="25" t="b">
        <x:v>0</x:v>
      </x:c>
      <x:c r="H24" s="24" t="str">
        <x:v>2026-10-12</x:v>
      </x:c>
      <x:c r="I24" s="28" t="str">
        <x:v>https://www.reuters.com/business/energy/shipping-insurance-costs-energy-flows-surge-opec-non-opec-ministers-say-2026-10-12/</x:v>
      </x:c>
      <x:c r="J24" s="24" t="str">
        <x:v>主题相关性；不证明逐实体出现</x:v>
      </x:c>
      <x:c r="K24" s="24" t="str">
        <x:v>—</x:v>
      </x:c>
    </x:row>
    <x:row r="25" ht="29" customHeight="1">
      <x:c r="A25" s="24" t="str">
        <x:v>上海航运交易所</x:v>
      </x:c>
      <x:c r="B25" s="24" t="str">
        <x:v>org</x:v>
      </x:c>
      <x:c r="C25" s="24" t="str">
        <x:v>航运中断与风险溢价</x:v>
      </x:c>
      <x:c r="D25" s="24" t="str">
        <x:v>shipping_disruption</x:v>
      </x:c>
      <x:c r="E25" s="50" t="str">
        <x:v>发布集装箱及其他航运市场指数的机构。</x:v>
      </x:c>
      <x:c r="F25" s="24" t="str">
        <x:v>["上海航运交易所", "Shanghai Shipping Exchange", "SSE航交所"]</x:v>
      </x:c>
      <x:c r="G25" s="25" t="b">
        <x:v>0</x:v>
      </x:c>
      <x:c r="H25" s="24" t="str">
        <x:v>2026-10-12</x:v>
      </x:c>
      <x:c r="I25" s="28" t="str">
        <x:v>https://www.reuters.com/business/energy/shipping-insurance-costs-energy-flows-surge-opec-non-opec-ministers-say-2026-10-12/</x:v>
      </x:c>
      <x:c r="J25" s="24" t="str">
        <x:v>主题相关性；不证明逐实体出现</x:v>
      </x:c>
      <x:c r="K25" s="24" t="str">
        <x:v>—</x:v>
      </x:c>
    </x:row>
    <x:row r="26" ht="29" customHeight="1">
      <x:c r="A26" s="24" t="str">
        <x:v>SCFI上海出口集装箱运价指数</x:v>
      </x:c>
      <x:c r="B26" s="24" t="str">
        <x:v>asset</x:v>
      </x:c>
      <x:c r="C26" s="24" t="str">
        <x:v>航运中断与风险溢价</x:v>
      </x:c>
      <x:c r="D26" s="24" t="str">
        <x:v>shipping_disruption</x:v>
      </x:c>
      <x:c r="E26" s="50" t="str">
        <x:v>用于观察中国出口即期集装箱运价的指数。</x:v>
      </x:c>
      <x:c r="F26" s="24" t="str">
        <x:v>["SCFI上海出口集装箱运价指数", "SCFI", "Shanghai Containerized Freight Index"]</x:v>
      </x:c>
      <x:c r="G26" s="25" t="b">
        <x:v>0</x:v>
      </x:c>
      <x:c r="H26" s="24" t="str">
        <x:v>2026-10-12</x:v>
      </x:c>
      <x:c r="I26" s="28" t="str">
        <x:v>https://www.reuters.com/business/energy/shipping-insurance-costs-energy-flows-surge-opec-non-opec-ministers-say-2026-10-12/</x:v>
      </x:c>
      <x:c r="J26" s="24" t="str">
        <x:v>主题相关性；不证明逐实体出现</x:v>
      </x:c>
      <x:c r="K26" s="24" t="str">
        <x:v>—</x:v>
      </x:c>
    </x:row>
    <x:row r="27" ht="29" customHeight="1">
      <x:c r="A27" s="24" t="str">
        <x:v>FBX全球集装箱运价指数</x:v>
      </x:c>
      <x:c r="B27" s="24" t="str">
        <x:v>asset</x:v>
      </x:c>
      <x:c r="C27" s="24" t="str">
        <x:v>航运中断与风险溢价</x:v>
      </x:c>
      <x:c r="D27" s="24" t="str">
        <x:v>shipping_disruption</x:v>
      </x:c>
      <x:c r="E27" s="50" t="str">
        <x:v>全球集装箱运价观察指标。</x:v>
      </x:c>
      <x:c r="F27" s="24" t="str">
        <x:v>["FBX全球集装箱运价指数", "Freightos Baltic Index", "FBX"]</x:v>
      </x:c>
      <x:c r="G27" s="25" t="b">
        <x:v>0</x:v>
      </x:c>
      <x:c r="H27" s="24" t="str">
        <x:v>2026-10-12</x:v>
      </x:c>
      <x:c r="I27" s="28" t="str">
        <x:v>https://www.reuters.com/business/energy/shipping-insurance-costs-energy-flows-surge-opec-non-opec-ministers-say-2026-10-12/</x:v>
      </x:c>
      <x:c r="J27" s="24" t="str">
        <x:v>主题相关性；不证明逐实体出现</x:v>
      </x:c>
      <x:c r="K27" s="24" t="str">
        <x:v>—</x:v>
      </x:c>
    </x:row>
    <x:row r="28" ht="29" customHeight="1">
      <x:c r="A28" s="24" t="str">
        <x:v>战争险保费</x:v>
      </x:c>
      <x:c r="B28" s="24" t="str">
        <x:v>concept</x:v>
      </x:c>
      <x:c r="C28" s="24" t="str">
        <x:v>航运中断与风险溢价</x:v>
      </x:c>
      <x:c r="D28" s="24" t="str">
        <x:v>shipping_disruption</x:v>
      </x:c>
      <x:c r="E28" s="50" t="str">
        <x:v>冲突航线的额外保险成本，可量化风险溢价。</x:v>
      </x:c>
      <x:c r="F28" s="24" t="str">
        <x:v>["战争险保费", "War Risk Premium", "War Risk Insurance Premium"]</x:v>
      </x:c>
      <x:c r="G28" s="25" t="b">
        <x:v>0</x:v>
      </x:c>
      <x:c r="H28" s="24" t="str">
        <x:v>2026-10-12</x:v>
      </x:c>
      <x:c r="I28" s="28" t="str">
        <x:v>https://www.reuters.com/business/energy/shipping-insurance-costs-energy-flows-surge-opec-non-opec-ministers-say-2026-10-12/</x:v>
      </x:c>
      <x:c r="J28" s="24" t="str">
        <x:v>主题相关性；不证明逐实体出现</x:v>
      </x:c>
      <x:c r="K28" s="24" t="str">
        <x:v>—</x:v>
      </x:c>
    </x:row>
    <x:row r="29" ht="29" customHeight="1">
      <x:c r="A29" s="24" t="str">
        <x:v>VLCC超大型油轮</x:v>
      </x:c>
      <x:c r="B29" s="24" t="str">
        <x:v>asset</x:v>
      </x:c>
      <x:c r="C29" s="24" t="str">
        <x:v>航运中断与风险溢价</x:v>
      </x:c>
      <x:c r="D29" s="24" t="str">
        <x:v>shipping_disruption</x:v>
      </x:c>
      <x:c r="E29" s="50" t="str">
        <x:v>原油海运主要船型，供给受限影响海运费。</x:v>
      </x:c>
      <x:c r="F29" s="24" t="str">
        <x:v>["VLCC超大型油轮", "VLCC", "Very Large Crude Carrier"]</x:v>
      </x:c>
      <x:c r="G29" s="25" t="b">
        <x:v>0</x:v>
      </x:c>
      <x:c r="H29" s="24" t="str">
        <x:v>2026-10-12</x:v>
      </x:c>
      <x:c r="I29" s="28" t="str">
        <x:v>https://www.reuters.com/business/energy/shipping-insurance-costs-energy-flows-surge-opec-non-opec-ministers-say-2026-10-12/</x:v>
      </x:c>
      <x:c r="J29" s="24" t="str">
        <x:v>主题相关性；不证明逐实体出现</x:v>
      </x:c>
      <x:c r="K29" s="24" t="str">
        <x:v>—</x:v>
      </x:c>
    </x:row>
    <x:row r="30" ht="29" customHeight="1">
      <x:c r="A30" s="24" t="str">
        <x:v>霍尔木兹海峡</x:v>
      </x:c>
      <x:c r="B30" s="24" t="str">
        <x:v>place</x:v>
      </x:c>
      <x:c r="C30" s="24" t="str">
        <x:v>波斯湾能源安全</x:v>
      </x:c>
      <x:c r="D30" s="24" t="str">
        <x:v>energy_supply_chokepoint</x:v>
      </x:c>
      <x:c r="E30" s="50" t="str">
        <x:v>波斯湾原油及天然气出口关键咽喉。</x:v>
      </x:c>
      <x:c r="F30" s="24" t="str">
        <x:v>["霍尔木兹海峡", "Strait of Hormuz", "Hormuz", "霍尔木兹"]</x:v>
      </x:c>
      <x:c r="G30" s="25" t="b">
        <x:v>0</x:v>
      </x:c>
      <x:c r="H30" s="24" t="str">
        <x:v>2026-04-05</x:v>
      </x:c>
      <x:c r="I30" s="28" t="str">
        <x:v>https://www.reuters.com/business/energy/opec-debates-theoretical-oil-output-hike-amid-iran-war-paralysis-sources-say-2026-04-05/</x:v>
      </x:c>
      <x:c r="J30" s="24" t="str">
        <x:v>主题相关性；不证明逐实体出现</x:v>
      </x:c>
      <x:c r="K30" s="24" t="str">
        <x:v>—</x:v>
      </x:c>
    </x:row>
    <x:row r="31" ht="29" customHeight="1">
      <x:c r="A31" s="24" t="str">
        <x:v>波斯湾</x:v>
      </x:c>
      <x:c r="B31" s="24" t="str">
        <x:v>place</x:v>
      </x:c>
      <x:c r="C31" s="24" t="str">
        <x:v>波斯湾能源安全</x:v>
      </x:c>
      <x:c r="D31" s="24" t="str">
        <x:v>energy_supply_chokepoint</x:v>
      </x:c>
      <x:c r="E31" s="50" t="str">
        <x:v>中东主要油气出口区域。</x:v>
      </x:c>
      <x:c r="F31" s="24" t="str">
        <x:v>["波斯湾", "Persian Gulf", "阿拉伯湾"]</x:v>
      </x:c>
      <x:c r="G31" s="25" t="b">
        <x:v>0</x:v>
      </x:c>
      <x:c r="H31" s="24" t="str">
        <x:v>2026-04-05</x:v>
      </x:c>
      <x:c r="I31" s="28" t="str">
        <x:v>https://www.reuters.com/business/energy/opec-debates-theoretical-oil-output-hike-amid-iran-war-paralysis-sources-say-2026-04-05/</x:v>
      </x:c>
      <x:c r="J31" s="24" t="str">
        <x:v>主题相关性；不证明逐实体出现</x:v>
      </x:c>
      <x:c r="K31" s="24" t="str">
        <x:v>—</x:v>
      </x:c>
    </x:row>
    <x:row r="32" ht="29" customHeight="1">
      <x:c r="A32" s="24" t="str">
        <x:v>阿曼湾</x:v>
      </x:c>
      <x:c r="B32" s="24" t="str">
        <x:v>place</x:v>
      </x:c>
      <x:c r="C32" s="24" t="str">
        <x:v>波斯湾能源安全</x:v>
      </x:c>
      <x:c r="D32" s="24" t="str">
        <x:v>energy_supply_chokepoint</x:v>
      </x:c>
      <x:c r="E32" s="50" t="str">
        <x:v>霍尔木兹海峡外侧的油气航运海域。</x:v>
      </x:c>
      <x:c r="F32" s="24" t="str">
        <x:v>["阿曼湾", "Gulf of Oman"]</x:v>
      </x:c>
      <x:c r="G32" s="25" t="b">
        <x:v>0</x:v>
      </x:c>
      <x:c r="H32" s="24" t="str">
        <x:v>2026-04-05</x:v>
      </x:c>
      <x:c r="I32" s="28" t="str">
        <x:v>https://www.reuters.com/business/energy/opec-debates-theoretical-oil-output-hike-amid-iran-war-paralysis-sources-say-2026-04-05/</x:v>
      </x:c>
      <x:c r="J32" s="24" t="str">
        <x:v>主题相关性；不证明逐实体出现</x:v>
      </x:c>
      <x:c r="K32" s="24" t="str">
        <x:v>—</x:v>
      </x:c>
    </x:row>
    <x:row r="33" ht="29" customHeight="1">
      <x:c r="A33" s="24" t="str">
        <x:v>伊朗国家石油公司</x:v>
      </x:c>
      <x:c r="B33" s="24" t="str">
        <x:v>org</x:v>
      </x:c>
      <x:c r="C33" s="24" t="str">
        <x:v>波斯湾能源安全</x:v>
      </x:c>
      <x:c r="D33" s="24" t="str">
        <x:v>energy_supply_chokepoint</x:v>
      </x:c>
      <x:c r="E33" s="50" t="str">
        <x:v>伊朗国家石油企业，涉及出口与制裁。</x:v>
      </x:c>
      <x:c r="F33" s="24" t="str">
        <x:v>["伊朗国家石油公司", "NIOC", "National Iranian Oil Company"]</x:v>
      </x:c>
      <x:c r="G33" s="25" t="b">
        <x:v>0</x:v>
      </x:c>
      <x:c r="H33" s="24" t="str">
        <x:v>2026-04-05</x:v>
      </x:c>
      <x:c r="I33" s="28" t="str">
        <x:v>https://www.reuters.com/business/energy/opec-debates-theoretical-oil-output-hike-amid-iran-war-paralysis-sources-say-2026-04-05/</x:v>
      </x:c>
      <x:c r="J33" s="24" t="str">
        <x:v>主题相关性；不证明逐实体出现</x:v>
      </x:c>
      <x:c r="K33" s="24" t="str">
        <x:v>—</x:v>
      </x:c>
    </x:row>
    <x:row r="34" ht="29" customHeight="1">
      <x:c r="A34" s="24" t="str">
        <x:v>沙特阿美</x:v>
      </x:c>
      <x:c r="B34" s="24" t="str">
        <x:v>org</x:v>
      </x:c>
      <x:c r="C34" s="24" t="str">
        <x:v>波斯湾能源安全</x:v>
      </x:c>
      <x:c r="D34" s="24" t="str">
        <x:v>energy_supply_chokepoint</x:v>
      </x:c>
      <x:c r="E34" s="50" t="str">
        <x:v>沙特综合油气企业，全球原油供给的重要主体。</x:v>
      </x:c>
      <x:c r="F34" s="24" t="str">
        <x:v>["沙特阿美", "Saudi Aramco", "Aramco", "阿美"]</x:v>
      </x:c>
      <x:c r="G34" s="25" t="b">
        <x:v>0</x:v>
      </x:c>
      <x:c r="H34" s="24" t="str">
        <x:v>2026-04-05</x:v>
      </x:c>
      <x:c r="I34" s="28" t="str">
        <x:v>https://www.reuters.com/business/energy/opec-debates-theoretical-oil-output-hike-amid-iran-war-paralysis-sources-say-2026-04-05/</x:v>
      </x:c>
      <x:c r="J34" s="24" t="str">
        <x:v>主题相关性；不证明逐实体出现</x:v>
      </x:c>
      <x:c r="K34" s="24" t="str">
        <x:v>—</x:v>
      </x:c>
    </x:row>
    <x:row r="35" ht="29" customHeight="1">
      <x:c r="A35" s="24" t="str">
        <x:v>阿布扎比国家石油公司</x:v>
      </x:c>
      <x:c r="B35" s="24" t="str">
        <x:v>org</x:v>
      </x:c>
      <x:c r="C35" s="24" t="str">
        <x:v>波斯湾能源安全</x:v>
      </x:c>
      <x:c r="D35" s="24" t="str">
        <x:v>energy_supply_chokepoint</x:v>
      </x:c>
      <x:c r="E35" s="50" t="str">
        <x:v>阿联酋国家油气企业，参与国际能源供给。</x:v>
      </x:c>
      <x:c r="F35" s="24" t="str">
        <x:v>["阿布扎比国家石油公司", "ADNOC", "Abu Dhabi National Oil Company"]</x:v>
      </x:c>
      <x:c r="G35" s="25" t="b">
        <x:v>0</x:v>
      </x:c>
      <x:c r="H35" s="24" t="str">
        <x:v>2026-04-05</x:v>
      </x:c>
      <x:c r="I35" s="28" t="str">
        <x:v>https://www.reuters.com/business/energy/opec-debates-theoretical-oil-output-hike-amid-iran-war-paralysis-sources-say-2026-04-05/</x:v>
      </x:c>
      <x:c r="J35" s="24" t="str">
        <x:v>主题相关性；不证明逐实体出现</x:v>
      </x:c>
      <x:c r="K35" s="24" t="str">
        <x:v>—</x:v>
      </x:c>
    </x:row>
    <x:row r="36" ht="29" customHeight="1">
      <x:c r="A36" s="24" t="str">
        <x:v>卡塔尔能源公司</x:v>
      </x:c>
      <x:c r="B36" s="24" t="str">
        <x:v>org</x:v>
      </x:c>
      <x:c r="C36" s="24" t="str">
        <x:v>波斯湾能源安全</x:v>
      </x:c>
      <x:c r="D36" s="24" t="str">
        <x:v>energy_supply_chokepoint</x:v>
      </x:c>
      <x:c r="E36" s="50" t="str">
        <x:v>卡塔尔能源企业，与液化天然气出口相关。</x:v>
      </x:c>
      <x:c r="F36" s="24" t="str">
        <x:v>["卡塔尔能源公司", "QatarEnergy", "Qatar Petroleum"]</x:v>
      </x:c>
      <x:c r="G36" s="25" t="b">
        <x:v>0</x:v>
      </x:c>
      <x:c r="H36" s="24" t="str">
        <x:v>2026-04-05</x:v>
      </x:c>
      <x:c r="I36" s="28" t="str">
        <x:v>https://www.reuters.com/business/energy/opec-debates-theoretical-oil-output-hike-amid-iran-war-paralysis-sources-say-2026-04-05/</x:v>
      </x:c>
      <x:c r="J36" s="24" t="str">
        <x:v>主题相关性；不证明逐实体出现</x:v>
      </x:c>
      <x:c r="K36" s="24" t="str">
        <x:v>—</x:v>
      </x:c>
    </x:row>
    <x:row r="37" ht="29" customHeight="1">
      <x:c r="A37" s="24" t="str">
        <x:v>伊拉克石油部</x:v>
      </x:c>
      <x:c r="B37" s="24" t="str">
        <x:v>org</x:v>
      </x:c>
      <x:c r="C37" s="24" t="str">
        <x:v>波斯湾能源安全</x:v>
      </x:c>
      <x:c r="D37" s="24" t="str">
        <x:v>energy_supply_chokepoint</x:v>
      </x:c>
      <x:c r="E37" s="50" t="str">
        <x:v>伊拉克石油政策和出口的重要管理机构。</x:v>
      </x:c>
      <x:c r="F37" s="24" t="str">
        <x:v>["伊拉克石油部", "Iraq Ministry of Oil"]</x:v>
      </x:c>
      <x:c r="G37" s="25" t="b">
        <x:v>0</x:v>
      </x:c>
      <x:c r="H37" s="24" t="str">
        <x:v>2026-04-05</x:v>
      </x:c>
      <x:c r="I37" s="28" t="str">
        <x:v>https://www.reuters.com/business/energy/opec-debates-theoretical-oil-output-hike-amid-iran-war-paralysis-sources-say-2026-04-05/</x:v>
      </x:c>
      <x:c r="J37" s="24" t="str">
        <x:v>主题相关性；不证明逐实体出现</x:v>
      </x:c>
      <x:c r="K37" s="24" t="str">
        <x:v>—</x:v>
      </x:c>
    </x:row>
    <x:row r="38" ht="29" customHeight="1">
      <x:c r="A38" s="24" t="str">
        <x:v>欧佩克</x:v>
      </x:c>
      <x:c r="B38" s="24" t="str">
        <x:v>org</x:v>
      </x:c>
      <x:c r="C38" s="24" t="str">
        <x:v>波斯湾能源安全</x:v>
      </x:c>
      <x:c r="D38" s="24" t="str">
        <x:v>energy_supply_chokepoint</x:v>
      </x:c>
      <x:c r="E38" s="50" t="str">
        <x:v>国际石油生产国组织，发布供需与政策信息。</x:v>
      </x:c>
      <x:c r="F38" s="24" t="str">
        <x:v>["欧佩克", "OPEC", "石油输出国组织"]</x:v>
      </x:c>
      <x:c r="G38" s="25" t="b">
        <x:v>0</x:v>
      </x:c>
      <x:c r="H38" s="24" t="str">
        <x:v>2026-04-05</x:v>
      </x:c>
      <x:c r="I38" s="28" t="str">
        <x:v>https://www.reuters.com/business/energy/opec-debates-theoretical-oil-output-hike-amid-iran-war-paralysis-sources-say-2026-04-05/</x:v>
      </x:c>
      <x:c r="J38" s="24" t="str">
        <x:v>主题相关性；不证明逐实体出现</x:v>
      </x:c>
      <x:c r="K38" s="24" t="str">
        <x:v>—</x:v>
      </x:c>
    </x:row>
    <x:row r="39" ht="29" customHeight="1">
      <x:c r="A39" s="24" t="str">
        <x:v>OPEC+联盟</x:v>
      </x:c>
      <x:c r="B39" s="24" t="str">
        <x:v>org</x:v>
      </x:c>
      <x:c r="C39" s="24" t="str">
        <x:v>波斯湾能源安全</x:v>
      </x:c>
      <x:c r="D39" s="24" t="str">
        <x:v>energy_supply_chokepoint</x:v>
      </x:c>
      <x:c r="E39" s="50" t="str">
        <x:v>OPEC与部分非成员产油国的产量协调机制。</x:v>
      </x:c>
      <x:c r="F39" s="24" t="str">
        <x:v>["OPEC+联盟", "OPEC+", "欧佩克加", "OPEC Plus"]</x:v>
      </x:c>
      <x:c r="G39" s="25" t="b">
        <x:v>0</x:v>
      </x:c>
      <x:c r="H39" s="24" t="str">
        <x:v>2026-04-05</x:v>
      </x:c>
      <x:c r="I39" s="28" t="str">
        <x:v>https://www.reuters.com/business/energy/opec-debates-theoretical-oil-output-hike-amid-iran-war-paralysis-sources-say-2026-04-05/</x:v>
      </x:c>
      <x:c r="J39" s="24" t="str">
        <x:v>主题相关性；不证明逐实体出现</x:v>
      </x:c>
      <x:c r="K39" s="24" t="str">
        <x:v>—</x:v>
      </x:c>
    </x:row>
    <x:row r="40" ht="29" customHeight="1">
      <x:c r="A40" s="24" t="str">
        <x:v>布伦特原油</x:v>
      </x:c>
      <x:c r="B40" s="24" t="str">
        <x:v>commodity</x:v>
      </x:c>
      <x:c r="C40" s="24" t="str">
        <x:v>波斯湾能源安全</x:v>
      </x:c>
      <x:c r="D40" s="24" t="str">
        <x:v>energy_supply_chokepoint</x:v>
      </x:c>
      <x:c r="E40" s="50" t="str">
        <x:v>国际原油价格基准，常用于衡量海运原油风险。</x:v>
      </x:c>
      <x:c r="F40" s="24" t="str">
        <x:v>["布伦特原油", "Brent", "Brent Crude", "布伦特", "Brent Oil"]</x:v>
      </x:c>
      <x:c r="G40" s="25" t="b">
        <x:v>0</x:v>
      </x:c>
      <x:c r="H40" s="24" t="str">
        <x:v>2026-04-05</x:v>
      </x:c>
      <x:c r="I40" s="28" t="str">
        <x:v>https://www.reuters.com/business/energy/opec-debates-theoretical-oil-output-hike-amid-iran-war-paralysis-sources-say-2026-04-05/</x:v>
      </x:c>
      <x:c r="J40" s="24" t="str">
        <x:v>主题相关性；不证明逐实体出现</x:v>
      </x:c>
      <x:c r="K40" s="24" t="str">
        <x:v>—</x:v>
      </x:c>
    </x:row>
    <x:row r="41" ht="29" customHeight="1">
      <x:c r="A41" s="24" t="str">
        <x:v>WTI原油</x:v>
      </x:c>
      <x:c r="B41" s="24" t="str">
        <x:v>commodity</x:v>
      </x:c>
      <x:c r="C41" s="24" t="str">
        <x:v>波斯湾能源安全</x:v>
      </x:c>
      <x:c r="D41" s="24" t="str">
        <x:v>energy_supply_chokepoint</x:v>
      </x:c>
      <x:c r="E41" s="50" t="str">
        <x:v>美国原油定价基准，与国际原油价差联动。</x:v>
      </x:c>
      <x:c r="F41" s="24" t="str">
        <x:v>["WTI原油", "WTI", "West Texas Intermediate", "西德州中质原油"]</x:v>
      </x:c>
      <x:c r="G41" s="25" t="b">
        <x:v>0</x:v>
      </x:c>
      <x:c r="H41" s="24" t="str">
        <x:v>2026-04-05</x:v>
      </x:c>
      <x:c r="I41" s="28" t="str">
        <x:v>https://www.reuters.com/business/energy/opec-debates-theoretical-oil-output-hike-amid-iran-war-paralysis-sources-say-2026-04-05/</x:v>
      </x:c>
      <x:c r="J41" s="24" t="str">
        <x:v>主题相关性；不证明逐实体出现</x:v>
      </x:c>
      <x:c r="K41" s="24" t="str">
        <x:v>—</x:v>
      </x:c>
    </x:row>
    <x:row r="42" ht="29" customHeight="1">
      <x:c r="A42" s="24" t="str">
        <x:v>沙特东西输油管道</x:v>
      </x:c>
      <x:c r="B42" s="24" t="str">
        <x:v>asset</x:v>
      </x:c>
      <x:c r="C42" s="24" t="str">
        <x:v>能源外运替代路径</x:v>
      </x:c>
      <x:c r="D42" s="24" t="str">
        <x:v>pipeline_diversion</x:v>
      </x:c>
      <x:c r="E42" s="50" t="str">
        <x:v>沙特连接东部油田与红海出口港的石油运输设施。</x:v>
      </x:c>
      <x:c r="F42" s="24" t="str">
        <x:v>["沙特东西输油管道", "East-West Pipeline", "Petroline", "沙特东西管道"]</x:v>
      </x:c>
      <x:c r="G42" s="25" t="b">
        <x:v>0</x:v>
      </x:c>
      <x:c r="H42" s="24" t="str">
        <x:v>2026-10-06</x:v>
      </x:c>
      <x:c r="I42" s="28" t="str">
        <x:v>https://www.reuters.com/business/energy/saudi-energy-minister-says-oil-pumped-through-east-west-pipeline-reached-58-2026-10-06/</x:v>
      </x:c>
      <x:c r="J42" s="24" t="str">
        <x:v>主题相关性；不证明逐实体出现</x:v>
      </x:c>
      <x:c r="K42" s="24" t="str">
        <x:v>—</x:v>
      </x:c>
    </x:row>
    <x:row r="43" ht="29" customHeight="1">
      <x:c r="A43" s="24" t="str">
        <x:v>延布港</x:v>
      </x:c>
      <x:c r="B43" s="24" t="str">
        <x:v>place</x:v>
      </x:c>
      <x:c r="C43" s="24" t="str">
        <x:v>能源外运替代路径</x:v>
      </x:c>
      <x:c r="D43" s="24" t="str">
        <x:v>pipeline_diversion</x:v>
      </x:c>
      <x:c r="E43" s="50" t="str">
        <x:v>沙特红海出口港，具有绕开霍尔木兹海峡的作用。</x:v>
      </x:c>
      <x:c r="F43" s="24" t="str">
        <x:v>["延布港", "Yanbu", "Yanbu Port", "延布"]</x:v>
      </x:c>
      <x:c r="G43" s="25" t="b">
        <x:v>0</x:v>
      </x:c>
      <x:c r="H43" s="24" t="str">
        <x:v>2026-10-06</x:v>
      </x:c>
      <x:c r="I43" s="28" t="str">
        <x:v>https://www.reuters.com/business/energy/saudi-energy-minister-says-oil-pumped-through-east-west-pipeline-reached-58-2026-10-06/</x:v>
      </x:c>
      <x:c r="J43" s="24" t="str">
        <x:v>主题相关性；不证明逐实体出现</x:v>
      </x:c>
      <x:c r="K43" s="24" t="str">
        <x:v>—</x:v>
      </x:c>
    </x:row>
    <x:row r="44" ht="29" customHeight="1">
      <x:c r="A44" s="24" t="str">
        <x:v>拉斯坦努拉港</x:v>
      </x:c>
      <x:c r="B44" s="24" t="str">
        <x:v>place</x:v>
      </x:c>
      <x:c r="C44" s="24" t="str">
        <x:v>能源外运替代路径</x:v>
      </x:c>
      <x:c r="D44" s="24" t="str">
        <x:v>pipeline_diversion</x:v>
      </x:c>
      <x:c r="E44" s="50" t="str">
        <x:v>沙特波斯湾侧的重要石油出口设施。</x:v>
      </x:c>
      <x:c r="F44" s="24" t="str">
        <x:v>["拉斯坦努拉港", "Ras Tanura", "Ras Tanura Port"]</x:v>
      </x:c>
      <x:c r="G44" s="25" t="b">
        <x:v>0</x:v>
      </x:c>
      <x:c r="H44" s="24" t="str">
        <x:v>2026-10-06</x:v>
      </x:c>
      <x:c r="I44" s="28" t="str">
        <x:v>https://www.reuters.com/business/energy/saudi-energy-minister-says-oil-pumped-through-east-west-pipeline-reached-58-2026-10-06/</x:v>
      </x:c>
      <x:c r="J44" s="24" t="str">
        <x:v>主题相关性；不证明逐实体出现</x:v>
      </x:c>
      <x:c r="K44" s="24" t="str">
        <x:v>—</x:v>
      </x:c>
    </x:row>
    <x:row r="45" ht="29" customHeight="1">
      <x:c r="A45" s="24" t="str">
        <x:v>富查伊拉港</x:v>
      </x:c>
      <x:c r="B45" s="24" t="str">
        <x:v>place</x:v>
      </x:c>
      <x:c r="C45" s="24" t="str">
        <x:v>能源外运替代路径</x:v>
      </x:c>
      <x:c r="D45" s="24" t="str">
        <x:v>pipeline_diversion</x:v>
      </x:c>
      <x:c r="E45" s="50" t="str">
        <x:v>阿联酋印度洋侧能源储运港口。</x:v>
      </x:c>
      <x:c r="F45" s="24" t="str">
        <x:v>["富查伊拉港", "Fujairah", "Port of Fujairah"]</x:v>
      </x:c>
      <x:c r="G45" s="25" t="b">
        <x:v>0</x:v>
      </x:c>
      <x:c r="H45" s="24" t="str">
        <x:v>2026-10-06</x:v>
      </x:c>
      <x:c r="I45" s="28" t="str">
        <x:v>https://www.reuters.com/business/energy/saudi-energy-minister-says-oil-pumped-through-east-west-pipeline-reached-58-2026-10-06/</x:v>
      </x:c>
      <x:c r="J45" s="24" t="str">
        <x:v>主题相关性；不证明逐实体出现</x:v>
      </x:c>
      <x:c r="K45" s="24" t="str">
        <x:v>—</x:v>
      </x:c>
    </x:row>
    <x:row r="46" ht="29" customHeight="1">
      <x:c r="A46" s="24" t="str">
        <x:v>迪拜国家石油公司</x:v>
      </x:c>
      <x:c r="B46" s="24" t="str">
        <x:v>org</x:v>
      </x:c>
      <x:c r="C46" s="24" t="str">
        <x:v>能源外运替代路径</x:v>
      </x:c>
      <x:c r="D46" s="24" t="str">
        <x:v>pipeline_diversion</x:v>
      </x:c>
      <x:c r="E46" s="50" t="str">
        <x:v>阿联酋能源企业，研究航运和保险成本的参考主体。</x:v>
      </x:c>
      <x:c r="F46" s="24" t="str">
        <x:v>["迪拜国家石油公司", "ENOC", "Emirates National Oil Company"]</x:v>
      </x:c>
      <x:c r="G46" s="25" t="b">
        <x:v>0</x:v>
      </x:c>
      <x:c r="H46" s="24" t="str">
        <x:v>2026-10-06</x:v>
      </x:c>
      <x:c r="I46" s="28" t="str">
        <x:v>https://www.reuters.com/business/energy/saudi-energy-minister-says-oil-pumped-through-east-west-pipeline-reached-58-2026-10-06/</x:v>
      </x:c>
      <x:c r="J46" s="24" t="str">
        <x:v>主题相关性；不证明逐实体出现</x:v>
      </x:c>
      <x:c r="K46" s="24" t="str">
        <x:v>—</x:v>
      </x:c>
    </x:row>
    <x:row r="47" ht="29" customHeight="1">
      <x:c r="A47" s="24" t="str">
        <x:v>迪拜商业交易所</x:v>
      </x:c>
      <x:c r="B47" s="24" t="str">
        <x:v>org</x:v>
      </x:c>
      <x:c r="C47" s="24" t="str">
        <x:v>能源外运替代路径</x:v>
      </x:c>
      <x:c r="D47" s="24" t="str">
        <x:v>pipeline_diversion</x:v>
      </x:c>
      <x:c r="E47" s="50" t="str">
        <x:v>中东原油现货及期货价格相关交易平台。</x:v>
      </x:c>
      <x:c r="F47" s="24" t="str">
        <x:v>["迪拜商业交易所", "Dubai Mercantile Exchange", "DME"]</x:v>
      </x:c>
      <x:c r="G47" s="25" t="b">
        <x:v>0</x:v>
      </x:c>
      <x:c r="H47" s="24" t="str">
        <x:v>2026-10-06</x:v>
      </x:c>
      <x:c r="I47" s="28" t="str">
        <x:v>https://www.reuters.com/business/energy/saudi-energy-minister-says-oil-pumped-through-east-west-pipeline-reached-58-2026-10-06/</x:v>
      </x:c>
      <x:c r="J47" s="24" t="str">
        <x:v>主题相关性；不证明逐实体出现</x:v>
      </x:c>
      <x:c r="K47" s="24" t="str">
        <x:v>—</x:v>
      </x:c>
    </x:row>
    <x:row r="48" ht="29" customHeight="1">
      <x:c r="A48" s="24" t="str">
        <x:v>阿曼原油</x:v>
      </x:c>
      <x:c r="B48" s="24" t="str">
        <x:v>commodity</x:v>
      </x:c>
      <x:c r="C48" s="24" t="str">
        <x:v>能源外运替代路径</x:v>
      </x:c>
      <x:c r="D48" s="24" t="str">
        <x:v>pipeline_diversion</x:v>
      </x:c>
      <x:c r="E48" s="50" t="str">
        <x:v>亚洲市场参考的中东原油定价品种。</x:v>
      </x:c>
      <x:c r="F48" s="24" t="str">
        <x:v>["阿曼原油", "Oman Crude", "DME Oman"]</x:v>
      </x:c>
      <x:c r="G48" s="25" t="b">
        <x:v>0</x:v>
      </x:c>
      <x:c r="H48" s="24" t="str">
        <x:v>2026-10-06</x:v>
      </x:c>
      <x:c r="I48" s="28" t="str">
        <x:v>https://www.reuters.com/business/energy/saudi-energy-minister-says-oil-pumped-through-east-west-pipeline-reached-58-2026-10-06/</x:v>
      </x:c>
      <x:c r="J48" s="24" t="str">
        <x:v>主题相关性；不证明逐实体出现</x:v>
      </x:c>
      <x:c r="K48" s="24" t="str">
        <x:v>—</x:v>
      </x:c>
    </x:row>
    <x:row r="49" ht="29" customHeight="1">
      <x:c r="A49" s="24" t="str">
        <x:v>LNG液化天然气</x:v>
      </x:c>
      <x:c r="B49" s="24" t="str">
        <x:v>commodity</x:v>
      </x:c>
      <x:c r="C49" s="24" t="str">
        <x:v>能源外运替代路径</x:v>
      </x:c>
      <x:c r="D49" s="24" t="str">
        <x:v>pipeline_diversion</x:v>
      </x:c>
      <x:c r="E49" s="50" t="str">
        <x:v>跨国天然气运输形态，受液化设施及航运风险影响。</x:v>
      </x:c>
      <x:c r="F49" s="24" t="str">
        <x:v>["LNG液化天然气", "LNG", "Liquefied Natural Gas", "液化天然气"]</x:v>
      </x:c>
      <x:c r="G49" s="25" t="b">
        <x:v>0</x:v>
      </x:c>
      <x:c r="H49" s="24" t="str">
        <x:v>2026-10-06</x:v>
      </x:c>
      <x:c r="I49" s="28" t="str">
        <x:v>https://www.reuters.com/business/energy/saudi-energy-minister-says-oil-pumped-through-east-west-pipeline-reached-58-2026-10-06/</x:v>
      </x:c>
      <x:c r="J49" s="24" t="str">
        <x:v>主题相关性；不证明逐实体出现</x:v>
      </x:c>
      <x:c r="K49" s="24" t="str">
        <x:v>—</x:v>
      </x:c>
    </x:row>
    <x:row r="50" ht="29" customHeight="1">
      <x:c r="A50" s="24" t="str">
        <x:v>哈马斯</x:v>
      </x:c>
      <x:c r="B50" s="24" t="str">
        <x:v>org</x:v>
      </x:c>
      <x:c r="C50" s="24" t="str">
        <x:v>加沙停火与治理</x:v>
      </x:c>
      <x:c r="D50" s="24" t="str">
        <x:v>ceasefire_governance</x:v>
      </x:c>
      <x:c r="E50" s="50" t="str">
        <x:v>巴勒斯坦政治武装组织，加沙停火和治理进程主要参与方。</x:v>
      </x:c>
      <x:c r="F50" s="24" t="str">
        <x:v>["哈马斯", "Hamas", "巴勒斯坦伊斯兰抵抗运动"]</x:v>
      </x:c>
      <x:c r="G50" s="25" t="b">
        <x:v>0</x:v>
      </x:c>
      <x:c r="H50" s="24" t="str">
        <x:v>2026-10-06</x:v>
      </x:c>
      <x:c r="I50" s="28" t="str">
        <x:v>https://www.reuters.com/world/middle-east/one-year-trumps-gaza-plan-has-not-stopped-israeli-fire-or-disarmed-hamas-2026-10-06/</x:v>
      </x:c>
      <x:c r="J50" s="24" t="str">
        <x:v>主题相关性；不证明逐实体出现</x:v>
      </x:c>
      <x:c r="K50" s="24" t="str">
        <x:v>—</x:v>
      </x:c>
    </x:row>
    <x:row r="51" ht="29" customHeight="1">
      <x:c r="A51" s="24" t="str">
        <x:v>以色列国防军</x:v>
      </x:c>
      <x:c r="B51" s="24" t="str">
        <x:v>org</x:v>
      </x:c>
      <x:c r="C51" s="24" t="str">
        <x:v>加沙停火与治理</x:v>
      </x:c>
      <x:c r="D51" s="24" t="str">
        <x:v>ceasefire_governance</x:v>
      </x:c>
      <x:c r="E51" s="50" t="str">
        <x:v>以色列军事机构，涉及加沙及周边安全。</x:v>
      </x:c>
      <x:c r="F51" s="24" t="str">
        <x:v>["以色列国防军", "IDF", "Israel Defense Forces", "以军"]</x:v>
      </x:c>
      <x:c r="G51" s="25" t="b">
        <x:v>0</x:v>
      </x:c>
      <x:c r="H51" s="24" t="str">
        <x:v>2026-10-06</x:v>
      </x:c>
      <x:c r="I51" s="28" t="str">
        <x:v>https://www.reuters.com/world/middle-east/one-year-trumps-gaza-plan-has-not-stopped-israeli-fire-or-disarmed-hamas-2026-10-06/</x:v>
      </x:c>
      <x:c r="J51" s="24" t="str">
        <x:v>主题相关性；不证明逐实体出现</x:v>
      </x:c>
      <x:c r="K51" s="24" t="str">
        <x:v>—</x:v>
      </x:c>
    </x:row>
    <x:row r="52" ht="29" customHeight="1">
      <x:c r="A52" s="24" t="str">
        <x:v>以色列政府</x:v>
      </x:c>
      <x:c r="B52" s="24" t="str">
        <x:v>org</x:v>
      </x:c>
      <x:c r="C52" s="24" t="str">
        <x:v>加沙停火与治理</x:v>
      </x:c>
      <x:c r="D52" s="24" t="str">
        <x:v>ceasefire_governance</x:v>
      </x:c>
      <x:c r="E52" s="50" t="str">
        <x:v>参与加沙停火、安全与重建相关决策。</x:v>
      </x:c>
      <x:c r="F52" s="24" t="str">
        <x:v>["以色列政府", "Government of Israel", "以色列内阁"]</x:v>
      </x:c>
      <x:c r="G52" s="25" t="b">
        <x:v>0</x:v>
      </x:c>
      <x:c r="H52" s="24" t="str">
        <x:v>2026-10-06</x:v>
      </x:c>
      <x:c r="I52" s="28" t="str">
        <x:v>https://www.reuters.com/world/middle-east/one-year-trumps-gaza-plan-has-not-stopped-israeli-fire-or-disarmed-hamas-2026-10-06/</x:v>
      </x:c>
      <x:c r="J52" s="24" t="str">
        <x:v>主题相关性；不证明逐实体出现</x:v>
      </x:c>
      <x:c r="K52" s="24" t="str">
        <x:v>—</x:v>
      </x:c>
    </x:row>
    <x:row r="53" ht="29" customHeight="1">
      <x:c r="A53" s="24" t="str">
        <x:v>巴勒斯坦民族权力机构</x:v>
      </x:c>
      <x:c r="B53" s="24" t="str">
        <x:v>org</x:v>
      </x:c>
      <x:c r="C53" s="24" t="str">
        <x:v>加沙停火与治理</x:v>
      </x:c>
      <x:c r="D53" s="24" t="str">
        <x:v>ceasefire_governance</x:v>
      </x:c>
      <x:c r="E53" s="50" t="str">
        <x:v>巴勒斯坦治理主体，涉及加沙未来治理安排。</x:v>
      </x:c>
      <x:c r="F53" s="24" t="str">
        <x:v>["巴勒斯坦民族权力机构", "Palestinian Authority", "PA", "巴勒斯坦权力机构"]</x:v>
      </x:c>
      <x:c r="G53" s="25" t="b">
        <x:v>0</x:v>
      </x:c>
      <x:c r="H53" s="24" t="str">
        <x:v>2026-10-06</x:v>
      </x:c>
      <x:c r="I53" s="28" t="str">
        <x:v>https://www.reuters.com/world/middle-east/one-year-trumps-gaza-plan-has-not-stopped-israeli-fire-or-disarmed-hamas-2026-10-06/</x:v>
      </x:c>
      <x:c r="J53" s="24" t="str">
        <x:v>主题相关性；不证明逐实体出现</x:v>
      </x:c>
      <x:c r="K53" s="24" t="str">
        <x:v>—</x:v>
      </x:c>
    </x:row>
    <x:row r="54" ht="29" customHeight="1">
      <x:c r="A54" s="24" t="str">
        <x:v>联合国近东巴勒斯坦难民救济和工程处</x:v>
      </x:c>
      <x:c r="B54" s="24" t="str">
        <x:v>org</x:v>
      </x:c>
      <x:c r="C54" s="24" t="str">
        <x:v>加沙停火与治理</x:v>
      </x:c>
      <x:c r="D54" s="24" t="str">
        <x:v>ceasefire_governance</x:v>
      </x:c>
      <x:c r="E54" s="50" t="str">
        <x:v>巴勒斯坦难民教育、医疗和救援机构。</x:v>
      </x:c>
      <x:c r="F54" s="24" t="str">
        <x:v>["联合国近东巴勒斯坦难民救济和工程处", "UNRWA", "近东救济工程处"]</x:v>
      </x:c>
      <x:c r="G54" s="25" t="b">
        <x:v>0</x:v>
      </x:c>
      <x:c r="H54" s="24" t="str">
        <x:v>2026-10-06</x:v>
      </x:c>
      <x:c r="I54" s="28" t="str">
        <x:v>https://www.reuters.com/world/middle-east/one-year-trumps-gaza-plan-has-not-stopped-israeli-fire-or-disarmed-hamas-2026-10-06/</x:v>
      </x:c>
      <x:c r="J54" s="24" t="str">
        <x:v>主题相关性；不证明逐实体出现</x:v>
      </x:c>
      <x:c r="K54" s="24" t="str">
        <x:v>—</x:v>
      </x:c>
    </x:row>
    <x:row r="55" ht="29" customHeight="1">
      <x:c r="A55" s="24" t="str">
        <x:v>联合国人道主义事务协调厅</x:v>
      </x:c>
      <x:c r="B55" s="24" t="str">
        <x:v>org</x:v>
      </x:c>
      <x:c r="C55" s="24" t="str">
        <x:v>加沙停火与治理</x:v>
      </x:c>
      <x:c r="D55" s="24" t="str">
        <x:v>ceasefire_governance</x:v>
      </x:c>
      <x:c r="E55" s="50" t="str">
        <x:v>国际人道情况监测与协调机构。</x:v>
      </x:c>
      <x:c r="F55" s="24" t="str">
        <x:v>["联合国人道主义事务协调厅", "OCHA", "联合国人道协调厅"]</x:v>
      </x:c>
      <x:c r="G55" s="25" t="b">
        <x:v>0</x:v>
      </x:c>
      <x:c r="H55" s="24" t="str">
        <x:v>2026-10-06</x:v>
      </x:c>
      <x:c r="I55" s="28" t="str">
        <x:v>https://www.reuters.com/world/middle-east/one-year-trumps-gaza-plan-has-not-stopped-israeli-fire-or-disarmed-hamas-2026-10-06/</x:v>
      </x:c>
      <x:c r="J55" s="24" t="str">
        <x:v>主题相关性；不证明逐实体出现</x:v>
      </x:c>
      <x:c r="K55" s="24" t="str">
        <x:v>—</x:v>
      </x:c>
    </x:row>
    <x:row r="56" ht="29" customHeight="1">
      <x:c r="A56" s="24" t="str">
        <x:v>红十字国际委员会</x:v>
      </x:c>
      <x:c r="B56" s="24" t="str">
        <x:v>org</x:v>
      </x:c>
      <x:c r="C56" s="24" t="str">
        <x:v>加沙停火与治理</x:v>
      </x:c>
      <x:c r="D56" s="24" t="str">
        <x:v>ceasefire_governance</x:v>
      </x:c>
      <x:c r="E56" s="50" t="str">
        <x:v>冲突环境人道援助和人员保护相关机构。</x:v>
      </x:c>
      <x:c r="F56" s="24" t="str">
        <x:v>["红十字国际委员会", "ICRC", "International Committee of the Red Cross"]</x:v>
      </x:c>
      <x:c r="G56" s="25" t="b">
        <x:v>0</x:v>
      </x:c>
      <x:c r="H56" s="24" t="str">
        <x:v>2026-10-06</x:v>
      </x:c>
      <x:c r="I56" s="28" t="str">
        <x:v>https://www.reuters.com/world/middle-east/one-year-trumps-gaza-plan-has-not-stopped-israeli-fire-or-disarmed-hamas-2026-10-06/</x:v>
      </x:c>
      <x:c r="J56" s="24" t="str">
        <x:v>主题相关性；不证明逐实体出现</x:v>
      </x:c>
      <x:c r="K56" s="24" t="str">
        <x:v>—</x:v>
      </x:c>
    </x:row>
    <x:row r="57" ht="29" customHeight="1">
      <x:c r="A57" s="24" t="str">
        <x:v>加沙地带</x:v>
      </x:c>
      <x:c r="B57" s="24" t="str">
        <x:v>place</x:v>
      </x:c>
      <x:c r="C57" s="24" t="str">
        <x:v>加沙停火与治理</x:v>
      </x:c>
      <x:c r="D57" s="24" t="str">
        <x:v>ceasefire_governance</x:v>
      </x:c>
      <x:c r="E57" s="50" t="str">
        <x:v>地中海东岸地区，停火、救援和重建核心区域。</x:v>
      </x:c>
      <x:c r="F57" s="24" t="str">
        <x:v>["加沙地带", "Gaza Strip", "加沙"]</x:v>
      </x:c>
      <x:c r="G57" s="25" t="b">
        <x:v>0</x:v>
      </x:c>
      <x:c r="H57" s="24" t="str">
        <x:v>2026-10-06</x:v>
      </x:c>
      <x:c r="I57" s="28" t="str">
        <x:v>https://www.reuters.com/world/middle-east/one-year-trumps-gaza-plan-has-not-stopped-israeli-fire-or-disarmed-hamas-2026-10-06/</x:v>
      </x:c>
      <x:c r="J57" s="24" t="str">
        <x:v>主题相关性；不证明逐实体出现</x:v>
      </x:c>
      <x:c r="K57" s="24" t="str">
        <x:v>—</x:v>
      </x:c>
    </x:row>
    <x:row r="58" ht="29" customHeight="1">
      <x:c r="A58" s="24" t="str">
        <x:v>拉法口岸</x:v>
      </x:c>
      <x:c r="B58" s="24" t="str">
        <x:v>place</x:v>
      </x:c>
      <x:c r="C58" s="24" t="str">
        <x:v>加沙停火与治理</x:v>
      </x:c>
      <x:c r="D58" s="24" t="str">
        <x:v>ceasefire_governance</x:v>
      </x:c>
      <x:c r="E58" s="50" t="str">
        <x:v>加沙与埃及间重要人员及物资通道。</x:v>
      </x:c>
      <x:c r="F58" s="24" t="str">
        <x:v>["拉法口岸", "Rafah Crossing", "拉法过境点"]</x:v>
      </x:c>
      <x:c r="G58" s="25" t="b">
        <x:v>0</x:v>
      </x:c>
      <x:c r="H58" s="24" t="str">
        <x:v>2026-10-06</x:v>
      </x:c>
      <x:c r="I58" s="28" t="str">
        <x:v>https://www.reuters.com/world/middle-east/one-year-trumps-gaza-plan-has-not-stopped-israeli-fire-or-disarmed-hamas-2026-10-06/</x:v>
      </x:c>
      <x:c r="J58" s="24" t="str">
        <x:v>主题相关性；不证明逐实体出现</x:v>
      </x:c>
      <x:c r="K58" s="24" t="str">
        <x:v>—</x:v>
      </x:c>
    </x:row>
    <x:row r="59" ht="29" customHeight="1">
      <x:c r="A59" s="24" t="str">
        <x:v>汗尤尼斯</x:v>
      </x:c>
      <x:c r="B59" s="24" t="str">
        <x:v>place</x:v>
      </x:c>
      <x:c r="C59" s="24" t="str">
        <x:v>加沙停火与治理</x:v>
      </x:c>
      <x:c r="D59" s="24" t="str">
        <x:v>ceasefire_governance</x:v>
      </x:c>
      <x:c r="E59" s="50" t="str">
        <x:v>加沙南部城市，人道情况及安全态势观察地点。</x:v>
      </x:c>
      <x:c r="F59" s="24" t="str">
        <x:v>["汗尤尼斯", "Khan Younis", "汗尤尼斯市"]</x:v>
      </x:c>
      <x:c r="G59" s="25" t="b">
        <x:v>0</x:v>
      </x:c>
      <x:c r="H59" s="24" t="str">
        <x:v>2026-10-06</x:v>
      </x:c>
      <x:c r="I59" s="28" t="str">
        <x:v>https://www.reuters.com/world/middle-east/one-year-trumps-gaza-plan-has-not-stopped-israeli-fire-or-disarmed-hamas-2026-10-06/</x:v>
      </x:c>
      <x:c r="J59" s="24" t="str">
        <x:v>主题相关性；不证明逐实体出现</x:v>
      </x:c>
      <x:c r="K59" s="24" t="str">
        <x:v>—</x:v>
      </x:c>
    </x:row>
    <x:row r="60" ht="29" customHeight="1">
      <x:c r="A60" s="24" t="str">
        <x:v>本雅明·内塔尼亚胡</x:v>
      </x:c>
      <x:c r="B60" s="24" t="str">
        <x:v>person</x:v>
      </x:c>
      <x:c r="C60" s="24" t="str">
        <x:v>加沙停火与治理</x:v>
      </x:c>
      <x:c r="D60" s="24" t="str">
        <x:v>ceasefire_governance</x:v>
      </x:c>
      <x:c r="E60" s="50" t="str">
        <x:v>以色列政治人物，关联安全与停火政策决策。</x:v>
      </x:c>
      <x:c r="F60" s="24" t="str">
        <x:v>["本雅明·内塔尼亚胡", "Benjamin Netanyahu", "内塔尼亚胡"]</x:v>
      </x:c>
      <x:c r="G60" s="25" t="b">
        <x:v>0</x:v>
      </x:c>
      <x:c r="H60" s="24" t="str">
        <x:v>2026-10-06</x:v>
      </x:c>
      <x:c r="I60" s="28" t="str">
        <x:v>https://www.reuters.com/world/middle-east/one-year-trumps-gaza-plan-has-not-stopped-israeli-fire-or-disarmed-hamas-2026-10-06/</x:v>
      </x:c>
      <x:c r="J60" s="24" t="str">
        <x:v>主题相关性；不证明逐实体出现</x:v>
      </x:c>
      <x:c r="K60" s="24" t="str">
        <x:v>—</x:v>
      </x:c>
    </x:row>
    <x:row r="61" ht="29" customHeight="1">
      <x:c r="A61" s="24" t="str">
        <x:v>加沙国际稳定部队</x:v>
      </x:c>
      <x:c r="B61" s="24" t="str">
        <x:v>org</x:v>
      </x:c>
      <x:c r="C61" s="24" t="str">
        <x:v>加沙停火与治理</x:v>
      </x:c>
      <x:c r="D61" s="24" t="str">
        <x:v>ceasefire_governance</x:v>
      </x:c>
      <x:c r="E61" s="50" t="str">
        <x:v>加沙停火方案涉及的拟议国际安全安排，需核实部署进度。</x:v>
      </x:c>
      <x:c r="F61" s="24" t="str">
        <x:v>["加沙国际稳定部队", "International Stabilization Force", "ISF", "国际稳定部队"]</x:v>
      </x:c>
      <x:c r="G61" s="25" t="b">
        <x:v>0</x:v>
      </x:c>
      <x:c r="H61" s="24" t="str">
        <x:v>2026-10-06</x:v>
      </x:c>
      <x:c r="I61" s="28" t="str">
        <x:v>https://www.reuters.com/world/middle-east/one-year-trumps-gaza-plan-has-not-stopped-israeli-fire-or-disarmed-hamas-2026-10-06/</x:v>
      </x:c>
      <x:c r="J61" s="24" t="str">
        <x:v>主题相关性；不证明逐实体出现</x:v>
      </x:c>
      <x:c r="K61" s="24" t="str">
        <x:v>—</x:v>
      </x:c>
    </x:row>
    <x:row r="62" ht="29" customHeight="1">
      <x:c r="A62" s="24" t="str">
        <x:v>真主党</x:v>
      </x:c>
      <x:c r="B62" s="24" t="str">
        <x:v>org</x:v>
      </x:c>
      <x:c r="C62" s="24" t="str">
        <x:v>黎以边境安全</x:v>
      </x:c>
      <x:c r="D62" s="24" t="str">
        <x:v>border_disarmament</x:v>
      </x:c>
      <x:c r="E62" s="50" t="str">
        <x:v>黎巴嫩政治军事组织，与以黎边境安全议题相关。</x:v>
      </x:c>
      <x:c r="F62" s="24" t="str">
        <x:v>["真主党", "Hezbollah", "黎巴嫩真主党", "Hizbollah"]</x:v>
      </x:c>
      <x:c r="G62" s="25" t="b">
        <x:v>0</x:v>
      </x:c>
      <x:c r="H62" s="24" t="str">
        <x:v>2026-08-13</x:v>
      </x:c>
      <x:c r="I62" s="28" t="str">
        <x:v>https://www.reuters.com/world/middle-east/after-us-criticism-israel-ties-lebanon-withdrawal-hezbollah-disarmament-2026-08-13/</x:v>
      </x:c>
      <x:c r="J62" s="24" t="str">
        <x:v>主题相关性；不证明逐实体出现</x:v>
      </x:c>
      <x:c r="K62" s="24" t="str">
        <x:v>—</x:v>
      </x:c>
    </x:row>
    <x:row r="63" ht="29" customHeight="1">
      <x:c r="A63" s="24" t="str">
        <x:v>黎巴嫩武装部队</x:v>
      </x:c>
      <x:c r="B63" s="24" t="str">
        <x:v>org</x:v>
      </x:c>
      <x:c r="C63" s="24" t="str">
        <x:v>黎以边境安全</x:v>
      </x:c>
      <x:c r="D63" s="24" t="str">
        <x:v>border_disarmament</x:v>
      </x:c>
      <x:c r="E63" s="50" t="str">
        <x:v>黎巴嫩国家军队，涉及南部边境安全部署。</x:v>
      </x:c>
      <x:c r="F63" s="24" t="str">
        <x:v>["黎巴嫩武装部队", "LAF", "Lebanese Armed Forces", "黎巴嫩军队"]</x:v>
      </x:c>
      <x:c r="G63" s="25" t="b">
        <x:v>0</x:v>
      </x:c>
      <x:c r="H63" s="24" t="str">
        <x:v>2026-08-13</x:v>
      </x:c>
      <x:c r="I63" s="28" t="str">
        <x:v>https://www.reuters.com/world/middle-east/after-us-criticism-israel-ties-lebanon-withdrawal-hezbollah-disarmament-2026-08-13/</x:v>
      </x:c>
      <x:c r="J63" s="24" t="str">
        <x:v>主题相关性；不证明逐实体出现</x:v>
      </x:c>
      <x:c r="K63" s="24" t="str">
        <x:v>—</x:v>
      </x:c>
    </x:row>
    <x:row r="64" ht="29" customHeight="1">
      <x:c r="A64" s="24" t="str">
        <x:v>黎巴嫩政府</x:v>
      </x:c>
      <x:c r="B64" s="24" t="str">
        <x:v>org</x:v>
      </x:c>
      <x:c r="C64" s="24" t="str">
        <x:v>黎以边境安全</x:v>
      </x:c>
      <x:c r="D64" s="24" t="str">
        <x:v>border_disarmament</x:v>
      </x:c>
      <x:c r="E64" s="50" t="str">
        <x:v>黎巴嫩国家行政机构，参与停火执行和安全谈判。</x:v>
      </x:c>
      <x:c r="F64" s="24" t="str">
        <x:v>["黎巴嫩政府", "Government of Lebanon"]</x:v>
      </x:c>
      <x:c r="G64" s="25" t="b">
        <x:v>0</x:v>
      </x:c>
      <x:c r="H64" s="24" t="str">
        <x:v>2026-08-13</x:v>
      </x:c>
      <x:c r="I64" s="28" t="str">
        <x:v>https://www.reuters.com/world/middle-east/after-us-criticism-israel-ties-lebanon-withdrawal-hezbollah-disarmament-2026-08-13/</x:v>
      </x:c>
      <x:c r="J64" s="24" t="str">
        <x:v>主题相关性；不证明逐实体出现</x:v>
      </x:c>
      <x:c r="K64" s="24" t="str">
        <x:v>—</x:v>
      </x:c>
    </x:row>
    <x:row r="65" ht="29" customHeight="1">
      <x:c r="A65" s="24" t="str">
        <x:v>黎巴嫩南部</x:v>
      </x:c>
      <x:c r="B65" s="24" t="str">
        <x:v>place</x:v>
      </x:c>
      <x:c r="C65" s="24" t="str">
        <x:v>黎以边境安全</x:v>
      </x:c>
      <x:c r="D65" s="24" t="str">
        <x:v>border_disarmament</x:v>
      </x:c>
      <x:c r="E65" s="50" t="str">
        <x:v>以黎边境地区，与撤军和安全区争议相关。</x:v>
      </x:c>
      <x:c r="F65" s="24" t="str">
        <x:v>["黎巴嫩南部", "Southern Lebanon", "南黎巴嫩"]</x:v>
      </x:c>
      <x:c r="G65" s="25" t="b">
        <x:v>0</x:v>
      </x:c>
      <x:c r="H65" s="24" t="str">
        <x:v>2026-08-13</x:v>
      </x:c>
      <x:c r="I65" s="28" t="str">
        <x:v>https://www.reuters.com/world/middle-east/after-us-criticism-israel-ties-lebanon-withdrawal-hezbollah-disarmament-2026-08-13/</x:v>
      </x:c>
      <x:c r="J65" s="24" t="str">
        <x:v>主题相关性；不证明逐实体出现</x:v>
      </x:c>
      <x:c r="K65" s="24" t="str">
        <x:v>—</x:v>
      </x:c>
    </x:row>
    <x:row r="66" ht="29" customHeight="1">
      <x:c r="A66" s="24" t="str">
        <x:v>蓝线</x:v>
      </x:c>
      <x:c r="B66" s="24" t="str">
        <x:v>place</x:v>
      </x:c>
      <x:c r="C66" s="24" t="str">
        <x:v>黎以边境安全</x:v>
      </x:c>
      <x:c r="D66" s="24" t="str">
        <x:v>border_disarmament</x:v>
      </x:c>
      <x:c r="E66" s="50" t="str">
        <x:v>联合国标示的以黎撤军核查线。</x:v>
      </x:c>
      <x:c r="F66" s="24" t="str">
        <x:v>["蓝线", "Blue Line", "以黎蓝线"]</x:v>
      </x:c>
      <x:c r="G66" s="25" t="b">
        <x:v>0</x:v>
      </x:c>
      <x:c r="H66" s="24" t="str">
        <x:v>2026-08-13</x:v>
      </x:c>
      <x:c r="I66" s="28" t="str">
        <x:v>https://www.reuters.com/world/middle-east/after-us-criticism-israel-ties-lebanon-withdrawal-hezbollah-disarmament-2026-08-13/</x:v>
      </x:c>
      <x:c r="J66" s="24" t="str">
        <x:v>主题相关性；不证明逐实体出现</x:v>
      </x:c>
      <x:c r="K66" s="24" t="str">
        <x:v>—</x:v>
      </x:c>
    </x:row>
    <x:row r="67" ht="29" customHeight="1">
      <x:c r="A67" s="24" t="str">
        <x:v>联合国驻黎巴嫩临时部队</x:v>
      </x:c>
      <x:c r="B67" s="24" t="str">
        <x:v>org</x:v>
      </x:c>
      <x:c r="C67" s="24" t="str">
        <x:v>黎以边境安全</x:v>
      </x:c>
      <x:c r="D67" s="24" t="str">
        <x:v>border_disarmament</x:v>
      </x:c>
      <x:c r="E67" s="50" t="str">
        <x:v>联合国在黎巴嫩南部的维和任务机构。</x:v>
      </x:c>
      <x:c r="F67" s="24" t="str">
        <x:v>["联合国驻黎巴嫩临时部队", "UNIFIL", "联合国驻黎部队"]</x:v>
      </x:c>
      <x:c r="G67" s="25" t="b">
        <x:v>0</x:v>
      </x:c>
      <x:c r="H67" s="24" t="str">
        <x:v>2026-08-13</x:v>
      </x:c>
      <x:c r="I67" s="28" t="str">
        <x:v>https://www.reuters.com/world/middle-east/after-us-criticism-israel-ties-lebanon-withdrawal-hezbollah-disarmament-2026-08-13/</x:v>
      </x:c>
      <x:c r="J67" s="24" t="str">
        <x:v>主题相关性；不证明逐实体出现</x:v>
      </x:c>
      <x:c r="K67" s="24" t="str">
        <x:v>—</x:v>
      </x:c>
    </x:row>
    <x:row r="68" ht="29" customHeight="1">
      <x:c r="A68" s="24" t="str">
        <x:v>以色列国防部</x:v>
      </x:c>
      <x:c r="B68" s="24" t="str">
        <x:v>org</x:v>
      </x:c>
      <x:c r="C68" s="24" t="str">
        <x:v>黎以边境安全</x:v>
      </x:c>
      <x:c r="D68" s="24" t="str">
        <x:v>border_disarmament</x:v>
      </x:c>
      <x:c r="E68" s="50" t="str">
        <x:v>以色列国防政策与军事采购行政机构。</x:v>
      </x:c>
      <x:c r="F68" s="24" t="str">
        <x:v>["以色列国防部", "Israeli Ministry of Defense"]</x:v>
      </x:c>
      <x:c r="G68" s="25" t="b">
        <x:v>0</x:v>
      </x:c>
      <x:c r="H68" s="24" t="str">
        <x:v>2026-08-13</x:v>
      </x:c>
      <x:c r="I68" s="28" t="str">
        <x:v>https://www.reuters.com/world/middle-east/after-us-criticism-israel-ties-lebanon-withdrawal-hezbollah-disarmament-2026-08-13/</x:v>
      </x:c>
      <x:c r="J68" s="24" t="str">
        <x:v>主题相关性；不证明逐实体出现</x:v>
      </x:c>
      <x:c r="K68" s="24" t="str">
        <x:v>—</x:v>
      </x:c>
    </x:row>
    <x:row r="69" ht="29" customHeight="1">
      <x:c r="A69" s="24" t="str">
        <x:v>乌克兰武装部队</x:v>
      </x:c>
      <x:c r="B69" s="24" t="str">
        <x:v>org</x:v>
      </x:c>
      <x:c r="C69" s="24" t="str">
        <x:v>俄乌军事与能源设施</x:v>
      </x:c>
      <x:c r="D69" s="24" t="str">
        <x:v>war_energy_infrastructure</x:v>
      </x:c>
      <x:c r="E69" s="50" t="str">
        <x:v>乌克兰国家军事力量，涉及前线与远程打击。</x:v>
      </x:c>
      <x:c r="F69" s="24" t="str">
        <x:v>["乌克兰武装部队", "AFU", "Armed Forces of Ukraine", "乌军"]</x:v>
      </x:c>
      <x:c r="G69" s="25" t="b">
        <x:v>0</x:v>
      </x:c>
      <x:c r="H69" s="24" t="str">
        <x:v>2026-10-12</x:v>
      </x:c>
      <x:c r="I69" s="28" t="str">
        <x:v>https://www.reuters.com/business/energy/ukraine-accuses-russia-violating-trumps-energy-ceasefire-eu-imposes-new-2026-10-12/</x:v>
      </x:c>
      <x:c r="J69" s="24" t="str">
        <x:v>主题相关性；不证明逐实体出现</x:v>
      </x:c>
      <x:c r="K69" s="24" t="str">
        <x:v>—</x:v>
      </x:c>
    </x:row>
    <x:row r="70" ht="29" customHeight="1">
      <x:c r="A70" s="24" t="str">
        <x:v>俄罗斯武装力量</x:v>
      </x:c>
      <x:c r="B70" s="24" t="str">
        <x:v>org</x:v>
      </x:c>
      <x:c r="C70" s="24" t="str">
        <x:v>俄乌军事与能源设施</x:v>
      </x:c>
      <x:c r="D70" s="24" t="str">
        <x:v>war_energy_infrastructure</x:v>
      </x:c>
      <x:c r="E70" s="50" t="str">
        <x:v>俄罗斯国家军事力量，涉及战场及基础设施安全。</x:v>
      </x:c>
      <x:c r="F70" s="24" t="str">
        <x:v>["俄罗斯武装力量", "Russian Armed Forces", "俄军"]</x:v>
      </x:c>
      <x:c r="G70" s="25" t="b">
        <x:v>0</x:v>
      </x:c>
      <x:c r="H70" s="24" t="str">
        <x:v>2026-10-12</x:v>
      </x:c>
      <x:c r="I70" s="28" t="str">
        <x:v>https://www.reuters.com/business/energy/ukraine-accuses-russia-violating-trumps-energy-ceasefire-eu-imposes-new-2026-10-12/</x:v>
      </x:c>
      <x:c r="J70" s="24" t="str">
        <x:v>主题相关性；不证明逐实体出现</x:v>
      </x:c>
      <x:c r="K70" s="24" t="str">
        <x:v>—</x:v>
      </x:c>
    </x:row>
    <x:row r="71" ht="29" customHeight="1">
      <x:c r="A71" s="24" t="str">
        <x:v>乌克兰国家电力公司</x:v>
      </x:c>
      <x:c r="B71" s="24" t="str">
        <x:v>org</x:v>
      </x:c>
      <x:c r="C71" s="24" t="str">
        <x:v>俄乌军事与能源设施</x:v>
      </x:c>
      <x:c r="D71" s="24" t="str">
        <x:v>war_energy_infrastructure</x:v>
      </x:c>
      <x:c r="E71" s="50" t="str">
        <x:v>乌克兰输电网运营商，受能源设施安全影响。</x:v>
      </x:c>
      <x:c r="F71" s="24" t="str">
        <x:v>["乌克兰国家电力公司", "Ukrenergo", "乌克兰电网运营商"]</x:v>
      </x:c>
      <x:c r="G71" s="25" t="b">
        <x:v>0</x:v>
      </x:c>
      <x:c r="H71" s="24" t="str">
        <x:v>2026-10-12</x:v>
      </x:c>
      <x:c r="I71" s="28" t="str">
        <x:v>https://www.reuters.com/business/energy/ukraine-accuses-russia-violating-trumps-energy-ceasefire-eu-imposes-new-2026-10-12/</x:v>
      </x:c>
      <x:c r="J71" s="24" t="str">
        <x:v>主题相关性；不证明逐实体出现</x:v>
      </x:c>
      <x:c r="K71" s="24" t="str">
        <x:v>—</x:v>
      </x:c>
    </x:row>
    <x:row r="72" ht="29" customHeight="1">
      <x:c r="A72" s="24" t="str">
        <x:v>乌克兰国家石油天然气公司</x:v>
      </x:c>
      <x:c r="B72" s="24" t="str">
        <x:v>org</x:v>
      </x:c>
      <x:c r="C72" s="24" t="str">
        <x:v>俄乌军事与能源设施</x:v>
      </x:c>
      <x:c r="D72" s="24" t="str">
        <x:v>war_energy_infrastructure</x:v>
      </x:c>
      <x:c r="E72" s="50" t="str">
        <x:v>乌克兰油气企业，涉及天然气供应和设施安全。</x:v>
      </x:c>
      <x:c r="F72" s="24" t="str">
        <x:v>["乌克兰国家石油天然气公司", "Naftogaz", "纳夫托加兹"]</x:v>
      </x:c>
      <x:c r="G72" s="25" t="b">
        <x:v>0</x:v>
      </x:c>
      <x:c r="H72" s="24" t="str">
        <x:v>2026-10-12</x:v>
      </x:c>
      <x:c r="I72" s="28" t="str">
        <x:v>https://www.reuters.com/business/energy/ukraine-accuses-russia-violating-trumps-energy-ceasefire-eu-imposes-new-2026-10-12/</x:v>
      </x:c>
      <x:c r="J72" s="24" t="str">
        <x:v>主题相关性；不证明逐实体出现</x:v>
      </x:c>
      <x:c r="K72" s="24" t="str">
        <x:v>—</x:v>
      </x:c>
    </x:row>
    <x:row r="73" ht="29" customHeight="1">
      <x:c r="A73" s="24" t="str">
        <x:v>俄罗斯天然气工业股份公司</x:v>
      </x:c>
      <x:c r="B73" s="24" t="str">
        <x:v>org</x:v>
      </x:c>
      <x:c r="C73" s="24" t="str">
        <x:v>俄乌军事与能源设施</x:v>
      </x:c>
      <x:c r="D73" s="24" t="str">
        <x:v>war_energy_infrastructure</x:v>
      </x:c>
      <x:c r="E73" s="50" t="str">
        <x:v>俄罗斯主要天然气生产与销售企业。</x:v>
      </x:c>
      <x:c r="F73" s="24" t="str">
        <x:v>["俄罗斯天然气工业股份公司", "Gazprom", "俄罗斯天然气工业公司", "俄气"]</x:v>
      </x:c>
      <x:c r="G73" s="25" t="b">
        <x:v>0</x:v>
      </x:c>
      <x:c r="H73" s="24" t="str">
        <x:v>2026-10-12</x:v>
      </x:c>
      <x:c r="I73" s="28" t="str">
        <x:v>https://www.reuters.com/business/energy/ukraine-accuses-russia-violating-trumps-energy-ceasefire-eu-imposes-new-2026-10-12/</x:v>
      </x:c>
      <x:c r="J73" s="24" t="str">
        <x:v>主题相关性；不证明逐实体出现</x:v>
      </x:c>
      <x:c r="K73" s="24" t="str">
        <x:v>—</x:v>
      </x:c>
    </x:row>
    <x:row r="74" ht="29" customHeight="1">
      <x:c r="A74" s="24" t="str">
        <x:v>俄罗斯石油公司</x:v>
      </x:c>
      <x:c r="B74" s="24" t="str">
        <x:v>org</x:v>
      </x:c>
      <x:c r="C74" s="24" t="str">
        <x:v>俄乌军事与能源设施</x:v>
      </x:c>
      <x:c r="D74" s="24" t="str">
        <x:v>war_energy_infrastructure</x:v>
      </x:c>
      <x:c r="E74" s="50" t="str">
        <x:v>俄罗斯主要石油企业，涉及炼化、出口与制裁。</x:v>
      </x:c>
      <x:c r="F74" s="24" t="str">
        <x:v>["俄罗斯石油公司", "Rosneft", "俄油"]</x:v>
      </x:c>
      <x:c r="G74" s="25" t="b">
        <x:v>0</x:v>
      </x:c>
      <x:c r="H74" s="24" t="str">
        <x:v>2026-10-12</x:v>
      </x:c>
      <x:c r="I74" s="28" t="str">
        <x:v>https://www.reuters.com/business/energy/ukraine-accuses-russia-violating-trumps-energy-ceasefire-eu-imposes-new-2026-10-12/</x:v>
      </x:c>
      <x:c r="J74" s="24" t="str">
        <x:v>主题相关性；不证明逐实体出现</x:v>
      </x:c>
      <x:c r="K74" s="24" t="str">
        <x:v>—</x:v>
      </x:c>
    </x:row>
    <x:row r="75" ht="29" customHeight="1">
      <x:c r="A75" s="24" t="str">
        <x:v>卢克石油</x:v>
      </x:c>
      <x:c r="B75" s="24" t="str">
        <x:v>org</x:v>
      </x:c>
      <x:c r="C75" s="24" t="str">
        <x:v>俄乌军事与能源设施</x:v>
      </x:c>
      <x:c r="D75" s="24" t="str">
        <x:v>war_energy_infrastructure</x:v>
      </x:c>
      <x:c r="E75" s="50" t="str">
        <x:v>俄罗斯综合油气企业，涉及跨境能源交易。</x:v>
      </x:c>
      <x:c r="F75" s="24" t="str">
        <x:v>["卢克石油", "Lukoil", "俄罗斯卢克石油"]</x:v>
      </x:c>
      <x:c r="G75" s="25" t="b">
        <x:v>0</x:v>
      </x:c>
      <x:c r="H75" s="24" t="str">
        <x:v>2026-10-12</x:v>
      </x:c>
      <x:c r="I75" s="28" t="str">
        <x:v>https://www.reuters.com/business/energy/ukraine-accuses-russia-violating-trumps-energy-ceasefire-eu-imposes-new-2026-10-12/</x:v>
      </x:c>
      <x:c r="J75" s="24" t="str">
        <x:v>主题相关性；不证明逐实体出现</x:v>
      </x:c>
      <x:c r="K75" s="24" t="str">
        <x:v>—</x:v>
      </x:c>
    </x:row>
    <x:row r="76" ht="29" customHeight="1">
      <x:c r="A76" s="24" t="str">
        <x:v>弗拉基米尔·普京</x:v>
      </x:c>
      <x:c r="B76" s="24" t="str">
        <x:v>person</x:v>
      </x:c>
      <x:c r="C76" s="24" t="str">
        <x:v>俄乌军事与能源设施</x:v>
      </x:c>
      <x:c r="D76" s="24" t="str">
        <x:v>war_energy_infrastructure</x:v>
      </x:c>
      <x:c r="E76" s="50" t="str">
        <x:v>俄罗斯政治人物，关联安全及能源外交。</x:v>
      </x:c>
      <x:c r="F76" s="24" t="str">
        <x:v>["弗拉基米尔·普京", "Vladimir Putin", "普京"]</x:v>
      </x:c>
      <x:c r="G76" s="25" t="b">
        <x:v>0</x:v>
      </x:c>
      <x:c r="H76" s="24" t="str">
        <x:v>2026-10-12</x:v>
      </x:c>
      <x:c r="I76" s="28" t="str">
        <x:v>https://www.reuters.com/business/energy/ukraine-accuses-russia-violating-trumps-energy-ceasefire-eu-imposes-new-2026-10-12/</x:v>
      </x:c>
      <x:c r="J76" s="24" t="str">
        <x:v>主题相关性；不证明逐实体出现</x:v>
      </x:c>
      <x:c r="K76" s="24" t="str">
        <x:v>—</x:v>
      </x:c>
    </x:row>
    <x:row r="77" ht="29" customHeight="1">
      <x:c r="A77" s="24" t="str">
        <x:v>弗拉基米尔·泽连斯基</x:v>
      </x:c>
      <x:c r="B77" s="24" t="str">
        <x:v>person</x:v>
      </x:c>
      <x:c r="C77" s="24" t="str">
        <x:v>俄乌军事与能源设施</x:v>
      </x:c>
      <x:c r="D77" s="24" t="str">
        <x:v>war_energy_infrastructure</x:v>
      </x:c>
      <x:c r="E77" s="50" t="str">
        <x:v>乌克兰政治人物，关联战争与停火谈判。</x:v>
      </x:c>
      <x:c r="F77" s="24" t="str">
        <x:v>["弗拉基米尔·泽连斯基", "Volodymyr Zelenskyy", "Volodymyr Zelenskiy", "泽连斯基"]</x:v>
      </x:c>
      <x:c r="G77" s="25" t="b">
        <x:v>0</x:v>
      </x:c>
      <x:c r="H77" s="24" t="str">
        <x:v>2026-10-12</x:v>
      </x:c>
      <x:c r="I77" s="28" t="str">
        <x:v>https://www.reuters.com/business/energy/ukraine-accuses-russia-violating-trumps-energy-ceasefire-eu-imposes-new-2026-10-12/</x:v>
      </x:c>
      <x:c r="J77" s="24" t="str">
        <x:v>主题相关性；不证明逐实体出现</x:v>
      </x:c>
      <x:c r="K77" s="24" t="str">
        <x:v>—</x:v>
      </x:c>
    </x:row>
    <x:row r="78" ht="29" customHeight="1">
      <x:c r="A78" s="24" t="str">
        <x:v>哈尔科夫</x:v>
      </x:c>
      <x:c r="B78" s="24" t="str">
        <x:v>place</x:v>
      </x:c>
      <x:c r="C78" s="24" t="str">
        <x:v>俄乌军事与能源设施</x:v>
      </x:c>
      <x:c r="D78" s="24" t="str">
        <x:v>war_energy_infrastructure</x:v>
      </x:c>
      <x:c r="E78" s="50" t="str">
        <x:v>乌克兰东北部城市，能源基础设施和军事安全焦点。</x:v>
      </x:c>
      <x:c r="F78" s="24" t="str">
        <x:v>["哈尔科夫", "Kharkiv", "哈尔科夫市"]</x:v>
      </x:c>
      <x:c r="G78" s="25" t="b">
        <x:v>0</x:v>
      </x:c>
      <x:c r="H78" s="24" t="str">
        <x:v>2026-10-12</x:v>
      </x:c>
      <x:c r="I78" s="28" t="str">
        <x:v>https://www.reuters.com/business/energy/ukraine-accuses-russia-violating-trumps-energy-ceasefire-eu-imposes-new-2026-10-12/</x:v>
      </x:c>
      <x:c r="J78" s="24" t="str">
        <x:v>主题相关性；不证明逐实体出现</x:v>
      </x:c>
      <x:c r="K78" s="24" t="str">
        <x:v>—</x:v>
      </x:c>
    </x:row>
    <x:row r="79" ht="29" customHeight="1">
      <x:c r="A79" s="24" t="str">
        <x:v>黑海</x:v>
      </x:c>
      <x:c r="B79" s="24" t="str">
        <x:v>place</x:v>
      </x:c>
      <x:c r="C79" s="24" t="str">
        <x:v>俄乌军事与能源设施</x:v>
      </x:c>
      <x:c r="D79" s="24" t="str">
        <x:v>war_energy_infrastructure</x:v>
      </x:c>
      <x:c r="E79" s="50" t="str">
        <x:v>俄罗斯及乌克兰粮食和能源运输重要海域。</x:v>
      </x:c>
      <x:c r="F79" s="24" t="str">
        <x:v>["黑海", "Black Sea", "黑海海域"]</x:v>
      </x:c>
      <x:c r="G79" s="25" t="b">
        <x:v>0</x:v>
      </x:c>
      <x:c r="H79" s="24" t="str">
        <x:v>2026-10-12</x:v>
      </x:c>
      <x:c r="I79" s="28" t="str">
        <x:v>https://www.reuters.com/business/energy/ukraine-accuses-russia-violating-trumps-energy-ceasefire-eu-imposes-new-2026-10-12/</x:v>
      </x:c>
      <x:c r="J79" s="24" t="str">
        <x:v>主题相关性；不证明逐实体出现</x:v>
      </x:c>
      <x:c r="K79" s="24" t="str">
        <x:v>—</x:v>
      </x:c>
    </x:row>
    <x:row r="80" ht="29" customHeight="1">
      <x:c r="A80" s="24" t="str">
        <x:v>黑海谷物出口走廊</x:v>
      </x:c>
      <x:c r="B80" s="24" t="str">
        <x:v>concept</x:v>
      </x:c>
      <x:c r="C80" s="24" t="str">
        <x:v>俄乌军事与能源设施</x:v>
      </x:c>
      <x:c r="D80" s="24" t="str">
        <x:v>war_energy_infrastructure</x:v>
      </x:c>
      <x:c r="E80" s="50" t="str">
        <x:v>黑海粮食运输与安全安排的观察概念。</x:v>
      </x:c>
      <x:c r="F80" s="24" t="str">
        <x:v>["黑海谷物出口走廊", "Black Sea Grain Corridor", "黑海粮食走廊"]</x:v>
      </x:c>
      <x:c r="G80" s="25" t="b">
        <x:v>0</x:v>
      </x:c>
      <x:c r="H80" s="24" t="str">
        <x:v>2026-10-12</x:v>
      </x:c>
      <x:c r="I80" s="28" t="str">
        <x:v>https://www.reuters.com/business/energy/ukraine-accuses-russia-violating-trumps-energy-ceasefire-eu-imposes-new-2026-10-12/</x:v>
      </x:c>
      <x:c r="J80" s="24" t="str">
        <x:v>主题相关性；不证明逐实体出现</x:v>
      </x:c>
      <x:c r="K80" s="24" t="str">
        <x:v>—</x:v>
      </x:c>
    </x:row>
    <x:row r="81" ht="29" customHeight="1">
      <x:c r="A81" s="24" t="str">
        <x:v>北大西洋公约组织</x:v>
      </x:c>
      <x:c r="B81" s="24" t="str">
        <x:v>org</x:v>
      </x:c>
      <x:c r="C81" s="24" t="str">
        <x:v>欧洲安全与制裁</x:v>
      </x:c>
      <x:c r="D81" s="24" t="str">
        <x:v>alliance_sanctions</x:v>
      </x:c>
      <x:c r="E81" s="50" t="str">
        <x:v>跨大西洋军事同盟，涉及防务、军费与安全承诺。</x:v>
      </x:c>
      <x:c r="F81" s="24" t="str">
        <x:v>["北大西洋公约组织", "NATO", "北约", "North Atlantic Treaty Organization"]</x:v>
      </x:c>
      <x:c r="G81" s="25" t="b">
        <x:v>0</x:v>
      </x:c>
      <x:c r="H81" s="24" t="str">
        <x:v>2026-10-12</x:v>
      </x:c>
      <x:c r="I81" s="28" t="str">
        <x:v>https://www.reuters.com/world/nato-general-sets-out-tough-military-response-any-foolish-russian-attack-2026-10-12/</x:v>
      </x:c>
      <x:c r="J81" s="24" t="str">
        <x:v>主题相关性；不证明逐实体出现</x:v>
      </x:c>
      <x:c r="K81" s="24" t="str">
        <x:v>—</x:v>
      </x:c>
    </x:row>
    <x:row r="82" ht="29" customHeight="1">
      <x:c r="A82" s="24" t="str">
        <x:v>欧洲联盟</x:v>
      </x:c>
      <x:c r="B82" s="24" t="str">
        <x:v>org</x:v>
      </x:c>
      <x:c r="C82" s="24" t="str">
        <x:v>欧洲安全与制裁</x:v>
      </x:c>
      <x:c r="D82" s="24" t="str">
        <x:v>alliance_sanctions</x:v>
      </x:c>
      <x:c r="E82" s="50" t="str">
        <x:v>区域政治经济组织，制定贸易、制裁及产业政策。</x:v>
      </x:c>
      <x:c r="F82" s="24" t="str">
        <x:v>["欧洲联盟", "EU", "欧盟", "European Union"]</x:v>
      </x:c>
      <x:c r="G82" s="25" t="b">
        <x:v>0</x:v>
      </x:c>
      <x:c r="H82" s="24" t="str">
        <x:v>2026-10-12</x:v>
      </x:c>
      <x:c r="I82" s="28" t="str">
        <x:v>https://www.reuters.com/world/nato-general-sets-out-tough-military-response-any-foolish-russian-attack-2026-10-12/</x:v>
      </x:c>
      <x:c r="J82" s="24" t="str">
        <x:v>主题相关性；不证明逐实体出现</x:v>
      </x:c>
      <x:c r="K82" s="24" t="str">
        <x:v>—</x:v>
      </x:c>
    </x:row>
    <x:row r="83" ht="29" customHeight="1">
      <x:c r="A83" s="24" t="str">
        <x:v>欧盟委员会</x:v>
      </x:c>
      <x:c r="B83" s="24" t="str">
        <x:v>org</x:v>
      </x:c>
      <x:c r="C83" s="24" t="str">
        <x:v>欧洲安全与制裁</x:v>
      </x:c>
      <x:c r="D83" s="24" t="str">
        <x:v>alliance_sanctions</x:v>
      </x:c>
      <x:c r="E83" s="50" t="str">
        <x:v>欧盟执行机构，牵涉产业、贸易及制裁政策。</x:v>
      </x:c>
      <x:c r="F83" s="24" t="str">
        <x:v>["欧盟委员会", "European Commission", "欧委会"]</x:v>
      </x:c>
      <x:c r="G83" s="25" t="b">
        <x:v>0</x:v>
      </x:c>
      <x:c r="H83" s="24" t="str">
        <x:v>2026-10-12</x:v>
      </x:c>
      <x:c r="I83" s="28" t="str">
        <x:v>https://www.reuters.com/world/nato-general-sets-out-tough-military-response-any-foolish-russian-attack-2026-10-12/</x:v>
      </x:c>
      <x:c r="J83" s="24" t="str">
        <x:v>主题相关性；不证明逐实体出现</x:v>
      </x:c>
      <x:c r="K83" s="24" t="str">
        <x:v>—</x:v>
      </x:c>
    </x:row>
    <x:row r="84" ht="29" customHeight="1">
      <x:c r="A84" s="24" t="str">
        <x:v>欧盟理事会</x:v>
      </x:c>
      <x:c r="B84" s="24" t="str">
        <x:v>org</x:v>
      </x:c>
      <x:c r="C84" s="24" t="str">
        <x:v>欧洲安全与制裁</x:v>
      </x:c>
      <x:c r="D84" s="24" t="str">
        <x:v>alliance_sanctions</x:v>
      </x:c>
      <x:c r="E84" s="50" t="str">
        <x:v>欧盟成员国部长层面决策机构。</x:v>
      </x:c>
      <x:c r="F84" s="24" t="str">
        <x:v>["欧盟理事会", "Council of the European Union", "欧盟部长理事会"]</x:v>
      </x:c>
      <x:c r="G84" s="25" t="b">
        <x:v>0</x:v>
      </x:c>
      <x:c r="H84" s="24" t="str">
        <x:v>2026-10-12</x:v>
      </x:c>
      <x:c r="I84" s="28" t="str">
        <x:v>https://www.reuters.com/world/nato-general-sets-out-tough-military-response-any-foolish-russian-attack-2026-10-12/</x:v>
      </x:c>
      <x:c r="J84" s="24" t="str">
        <x:v>主题相关性；不证明逐实体出现</x:v>
      </x:c>
      <x:c r="K84" s="24" t="str">
        <x:v>—</x:v>
      </x:c>
    </x:row>
    <x:row r="85" ht="29" customHeight="1">
      <x:c r="A85" s="24" t="str">
        <x:v>欧洲对外行动署</x:v>
      </x:c>
      <x:c r="B85" s="24" t="str">
        <x:v>org</x:v>
      </x:c>
      <x:c r="C85" s="24" t="str">
        <x:v>欧洲安全与制裁</x:v>
      </x:c>
      <x:c r="D85" s="24" t="str">
        <x:v>alliance_sanctions</x:v>
      </x:c>
      <x:c r="E85" s="50" t="str">
        <x:v>欧盟对外政策与安全外交机构。</x:v>
      </x:c>
      <x:c r="F85" s="24" t="str">
        <x:v>["欧洲对外行动署", "EEAS", "European External Action Service"]</x:v>
      </x:c>
      <x:c r="G85" s="25" t="b">
        <x:v>0</x:v>
      </x:c>
      <x:c r="H85" s="24" t="str">
        <x:v>2026-10-12</x:v>
      </x:c>
      <x:c r="I85" s="28" t="str">
        <x:v>https://www.reuters.com/world/nato-general-sets-out-tough-military-response-any-foolish-russian-attack-2026-10-12/</x:v>
      </x:c>
      <x:c r="J85" s="24" t="str">
        <x:v>主题相关性；不证明逐实体出现</x:v>
      </x:c>
      <x:c r="K85" s="24" t="str">
        <x:v>—</x:v>
      </x:c>
    </x:row>
    <x:row r="86" ht="29" customHeight="1">
      <x:c r="A86" s="24" t="str">
        <x:v>北约欧洲盟军最高司令部</x:v>
      </x:c>
      <x:c r="B86" s="24" t="str">
        <x:v>org</x:v>
      </x:c>
      <x:c r="C86" s="24" t="str">
        <x:v>欧洲安全与制裁</x:v>
      </x:c>
      <x:c r="D86" s="24" t="str">
        <x:v>alliance_sanctions</x:v>
      </x:c>
      <x:c r="E86" s="50" t="str">
        <x:v>北约军事指挥体系核心司令部。</x:v>
      </x:c>
      <x:c r="F86" s="24" t="str">
        <x:v>["北约欧洲盟军最高司令部", "SHAPE", "Supreme Headquarters Allied Powers Europe"]</x:v>
      </x:c>
      <x:c r="G86" s="25" t="b">
        <x:v>0</x:v>
      </x:c>
      <x:c r="H86" s="24" t="str">
        <x:v>2026-10-12</x:v>
      </x:c>
      <x:c r="I86" s="28" t="str">
        <x:v>https://www.reuters.com/world/nato-general-sets-out-tough-military-response-any-foolish-russian-attack-2026-10-12/</x:v>
      </x:c>
      <x:c r="J86" s="24" t="str">
        <x:v>主题相关性；不证明逐实体出现</x:v>
      </x:c>
      <x:c r="K86" s="24" t="str">
        <x:v>—</x:v>
      </x:c>
    </x:row>
    <x:row r="87" ht="29" customHeight="1">
      <x:c r="A87" s="24" t="str">
        <x:v>亚历克苏斯·格林克维奇</x:v>
      </x:c>
      <x:c r="B87" s="24" t="str">
        <x:v>person</x:v>
      </x:c>
      <x:c r="C87" s="24" t="str">
        <x:v>欧洲安全与制裁</x:v>
      </x:c>
      <x:c r="D87" s="24" t="str">
        <x:v>alliance_sanctions</x:v>
      </x:c>
      <x:c r="E87" s="50" t="str">
        <x:v>北约欧洲盟军最高司令，2026年防务讨论相关人物。</x:v>
      </x:c>
      <x:c r="F87" s="24" t="str">
        <x:v>["亚历克苏斯·格林克维奇", "Alexus Grynkewich", "Alexus G. Grynkewich"]</x:v>
      </x:c>
      <x:c r="G87" s="25" t="b">
        <x:v>0</x:v>
      </x:c>
      <x:c r="H87" s="24" t="str">
        <x:v>2026-10-12</x:v>
      </x:c>
      <x:c r="I87" s="28" t="str">
        <x:v>https://www.reuters.com/world/nato-general-sets-out-tough-military-response-any-foolish-russian-attack-2026-10-12/</x:v>
      </x:c>
      <x:c r="J87" s="24" t="str">
        <x:v>主题相关性；不证明逐实体出现</x:v>
      </x:c>
      <x:c r="K87" s="24" t="str">
        <x:v>—</x:v>
      </x:c>
    </x:row>
    <x:row r="88" ht="29" customHeight="1">
      <x:c r="A88" s="24" t="str">
        <x:v>加里宁格勒</x:v>
      </x:c>
      <x:c r="B88" s="24" t="str">
        <x:v>place</x:v>
      </x:c>
      <x:c r="C88" s="24" t="str">
        <x:v>欧洲安全与制裁</x:v>
      </x:c>
      <x:c r="D88" s="24" t="str">
        <x:v>alliance_sanctions</x:v>
      </x:c>
      <x:c r="E88" s="50" t="str">
        <x:v>俄罗斯波罗的海飞地，欧洲安全议题中的关键地理节点。</x:v>
      </x:c>
      <x:c r="F88" s="24" t="str">
        <x:v>["加里宁格勒", "Kaliningrad", "加里宁格勒州"]</x:v>
      </x:c>
      <x:c r="G88" s="25" t="b">
        <x:v>0</x:v>
      </x:c>
      <x:c r="H88" s="24" t="str">
        <x:v>2026-10-12</x:v>
      </x:c>
      <x:c r="I88" s="28" t="str">
        <x:v>https://www.reuters.com/world/nato-general-sets-out-tough-military-response-any-foolish-russian-attack-2026-10-12/</x:v>
      </x:c>
      <x:c r="J88" s="24" t="str">
        <x:v>主题相关性；不证明逐实体出现</x:v>
      </x:c>
      <x:c r="K88" s="24" t="str">
        <x:v>—</x:v>
      </x:c>
    </x:row>
    <x:row r="89" ht="29" customHeight="1">
      <x:c r="A89" s="24" t="str">
        <x:v>波罗的海</x:v>
      </x:c>
      <x:c r="B89" s="24" t="str">
        <x:v>place</x:v>
      </x:c>
      <x:c r="C89" s="24" t="str">
        <x:v>欧洲安全与制裁</x:v>
      </x:c>
      <x:c r="D89" s="24" t="str">
        <x:v>alliance_sanctions</x:v>
      </x:c>
      <x:c r="E89" s="50" t="str">
        <x:v>北欧及波罗的海区域的航运和安全通道。</x:v>
      </x:c>
      <x:c r="F89" s="24" t="str">
        <x:v>["波罗的海", "Baltic Sea", "波罗的海海域"]</x:v>
      </x:c>
      <x:c r="G89" s="25" t="b">
        <x:v>0</x:v>
      </x:c>
      <x:c r="H89" s="24" t="str">
        <x:v>2026-10-12</x:v>
      </x:c>
      <x:c r="I89" s="28" t="str">
        <x:v>https://www.reuters.com/world/nato-general-sets-out-tough-military-response-any-foolish-russian-attack-2026-10-12/</x:v>
      </x:c>
      <x:c r="J89" s="24" t="str">
        <x:v>主题相关性；不证明逐实体出现</x:v>
      </x:c>
      <x:c r="K89" s="24" t="str">
        <x:v>—</x:v>
      </x:c>
    </x:row>
    <x:row r="90" ht="29" customHeight="1">
      <x:c r="A90" s="24" t="str">
        <x:v>北溪天然气管道</x:v>
      </x:c>
      <x:c r="B90" s="24" t="str">
        <x:v>asset</x:v>
      </x:c>
      <x:c r="C90" s="24" t="str">
        <x:v>欧洲安全与制裁</x:v>
      </x:c>
      <x:c r="D90" s="24" t="str">
        <x:v>alliance_sanctions</x:v>
      </x:c>
      <x:c r="E90" s="50" t="str">
        <x:v>俄罗斯至欧洲的跨境天然气管道系统，涉及能源政策和制裁。</x:v>
      </x:c>
      <x:c r="F90" s="24" t="str">
        <x:v>["北溪天然气管道", "Nord Stream", "北溪管道"]</x:v>
      </x:c>
      <x:c r="G90" s="25" t="b">
        <x:v>0</x:v>
      </x:c>
      <x:c r="H90" s="24" t="str">
        <x:v>2026-10-12</x:v>
      </x:c>
      <x:c r="I90" s="28" t="str">
        <x:v>https://www.reuters.com/world/nato-general-sets-out-tough-military-response-any-foolish-russian-attack-2026-10-12/</x:v>
      </x:c>
      <x:c r="J90" s="24" t="str">
        <x:v>主题相关性；不证明逐实体出现</x:v>
      </x:c>
      <x:c r="K90" s="24" t="str">
        <x:v>—</x:v>
      </x:c>
    </x:row>
    <x:row r="91" ht="29" customHeight="1">
      <x:c r="A91" s="24" t="str">
        <x:v>中国人民解放军东部战区</x:v>
      </x:c>
      <x:c r="B91" s="24" t="str">
        <x:v>org</x:v>
      </x:c>
      <x:c r="C91" s="24" t="str">
        <x:v>台海与印太海权</x:v>
      </x:c>
      <x:c r="D91" s="24" t="str">
        <x:v>maritime_deterrence</x:v>
      </x:c>
      <x:c r="E91" s="50" t="str">
        <x:v>解放军负责东部战略方向的联合指挥机构。</x:v>
      </x:c>
      <x:c r="F91" s="24" t="str">
        <x:v>["中国人民解放军东部战区", "PLA Eastern Theater Command", "东部战区"]</x:v>
      </x:c>
      <x:c r="G91" s="25" t="b">
        <x:v>0</x:v>
      </x:c>
      <x:c r="H91" s="24" t="str">
        <x:v>2026-10-10</x:v>
      </x:c>
      <x:c r="I91" s="28" t="str">
        <x:v>https://www.reuters.com/world/china/us-says-chinese-actions-off-taiwan-are-deeply-destabilising-2026-10-10/</x:v>
      </x:c>
      <x:c r="J91" s="24" t="str">
        <x:v>主题相关性；不证明逐实体出现</x:v>
      </x:c>
      <x:c r="K91" s="24" t="str">
        <x:v>—</x:v>
      </x:c>
    </x:row>
    <x:row r="92" ht="29" customHeight="1">
      <x:c r="A92" s="24" t="str">
        <x:v>中国海警局</x:v>
      </x:c>
      <x:c r="B92" s="24" t="str">
        <x:v>org</x:v>
      </x:c>
      <x:c r="C92" s="24" t="str">
        <x:v>台海与印太海权</x:v>
      </x:c>
      <x:c r="D92" s="24" t="str">
        <x:v>maritime_deterrence</x:v>
      </x:c>
      <x:c r="E92" s="50" t="str">
        <x:v>中国海上执法机构，参与区域海上活动。</x:v>
      </x:c>
      <x:c r="F92" s="24" t="str">
        <x:v>["中国海警局", "China Coast Guard", "中国海警", "CCG"]</x:v>
      </x:c>
      <x:c r="G92" s="25" t="b">
        <x:v>0</x:v>
      </x:c>
      <x:c r="H92" s="24" t="str">
        <x:v>2026-10-10</x:v>
      </x:c>
      <x:c r="I92" s="28" t="str">
        <x:v>https://www.reuters.com/world/china/us-says-chinese-actions-off-taiwan-are-deeply-destabilising-2026-10-10/</x:v>
      </x:c>
      <x:c r="J92" s="24" t="str">
        <x:v>主题相关性；不证明逐实体出现</x:v>
      </x:c>
      <x:c r="K92" s="24" t="str">
        <x:v>—</x:v>
      </x:c>
    </x:row>
    <x:row r="93" ht="29" customHeight="1">
      <x:c r="A93" s="24" t="str">
        <x:v>台湾海巡署</x:v>
      </x:c>
      <x:c r="B93" s="24" t="str">
        <x:v>org</x:v>
      </x:c>
      <x:c r="C93" s="24" t="str">
        <x:v>台海与印太海权</x:v>
      </x:c>
      <x:c r="D93" s="24" t="str">
        <x:v>maritime_deterrence</x:v>
      </x:c>
      <x:c r="E93" s="50" t="str">
        <x:v>台湾海上执法机构，负责海域巡防。</x:v>
      </x:c>
      <x:c r="F93" s="24" t="str">
        <x:v>["台湾海巡署", "Taiwan Coast Guard Administration", "海巡署", "CGA"]</x:v>
      </x:c>
      <x:c r="G93" s="25" t="b">
        <x:v>0</x:v>
      </x:c>
      <x:c r="H93" s="24" t="str">
        <x:v>2026-10-10</x:v>
      </x:c>
      <x:c r="I93" s="28" t="str">
        <x:v>https://www.reuters.com/world/china/us-says-chinese-actions-off-taiwan-are-deeply-destabilising-2026-10-10/</x:v>
      </x:c>
      <x:c r="J93" s="24" t="str">
        <x:v>主题相关性；不证明逐实体出现</x:v>
      </x:c>
      <x:c r="K93" s="24" t="str">
        <x:v>—</x:v>
      </x:c>
    </x:row>
    <x:row r="94" ht="29" customHeight="1">
      <x:c r="A94" s="24" t="str">
        <x:v>台湾海峡</x:v>
      </x:c>
      <x:c r="B94" s="24" t="str">
        <x:v>place</x:v>
      </x:c>
      <x:c r="C94" s="24" t="str">
        <x:v>台海与印太海权</x:v>
      </x:c>
      <x:c r="D94" s="24" t="str">
        <x:v>maritime_deterrence</x:v>
      </x:c>
      <x:c r="E94" s="50" t="str">
        <x:v>东亚重要海域，关系航运与地缘安全。</x:v>
      </x:c>
      <x:c r="F94" s="24" t="str">
        <x:v>["台湾海峡", "Taiwan Strait", "台海"]</x:v>
      </x:c>
      <x:c r="G94" s="25" t="b">
        <x:v>0</x:v>
      </x:c>
      <x:c r="H94" s="24" t="str">
        <x:v>2026-10-10</x:v>
      </x:c>
      <x:c r="I94" s="28" t="str">
        <x:v>https://www.reuters.com/world/china/us-says-chinese-actions-off-taiwan-are-deeply-destabilising-2026-10-10/</x:v>
      </x:c>
      <x:c r="J94" s="24" t="str">
        <x:v>主题相关性；不证明逐实体出现</x:v>
      </x:c>
      <x:c r="K94" s="24" t="str">
        <x:v>—</x:v>
      </x:c>
    </x:row>
    <x:row r="95" ht="29" customHeight="1">
      <x:c r="A95" s="24" t="str">
        <x:v>台湾东部海域</x:v>
      </x:c>
      <x:c r="B95" s="24" t="str">
        <x:v>place</x:v>
      </x:c>
      <x:c r="C95" s="24" t="str">
        <x:v>台海与印太海权</x:v>
      </x:c>
      <x:c r="D95" s="24" t="str">
        <x:v>maritime_deterrence</x:v>
      </x:c>
      <x:c r="E95" s="50" t="str">
        <x:v>台湾东侧海域，涉及航线及海上安全。</x:v>
      </x:c>
      <x:c r="F95" s="24" t="str">
        <x:v>["台湾东部海域", "Waters east of Taiwan", "台湾东部外海"]</x:v>
      </x:c>
      <x:c r="G95" s="25" t="b">
        <x:v>0</x:v>
      </x:c>
      <x:c r="H95" s="24" t="str">
        <x:v>2026-10-10</x:v>
      </x:c>
      <x:c r="I95" s="28" t="str">
        <x:v>https://www.reuters.com/world/china/us-says-chinese-actions-off-taiwan-are-deeply-destabilising-2026-10-10/</x:v>
      </x:c>
      <x:c r="J95" s="24" t="str">
        <x:v>主题相关性；不证明逐实体出现</x:v>
      </x:c>
      <x:c r="K95" s="24" t="str">
        <x:v>—</x:v>
      </x:c>
    </x:row>
    <x:row r="96" ht="29" customHeight="1">
      <x:c r="A96" s="24" t="str">
        <x:v>巴士海峡</x:v>
      </x:c>
      <x:c r="B96" s="24" t="str">
        <x:v>place</x:v>
      </x:c>
      <x:c r="C96" s="24" t="str">
        <x:v>台海与印太海权</x:v>
      </x:c>
      <x:c r="D96" s="24" t="str">
        <x:v>maritime_deterrence</x:v>
      </x:c>
      <x:c r="E96" s="50" t="str">
        <x:v>连接菲律宾海与南海的航行通道。</x:v>
      </x:c>
      <x:c r="F96" s="24" t="str">
        <x:v>["巴士海峡", "Bashi Channel"]</x:v>
      </x:c>
      <x:c r="G96" s="25" t="b">
        <x:v>0</x:v>
      </x:c>
      <x:c r="H96" s="24" t="str">
        <x:v>2026-10-10</x:v>
      </x:c>
      <x:c r="I96" s="28" t="str">
        <x:v>https://www.reuters.com/world/china/us-says-chinese-actions-off-taiwan-are-deeply-destabilising-2026-10-10/</x:v>
      </x:c>
      <x:c r="J96" s="24" t="str">
        <x:v>主题相关性；不证明逐实体出现</x:v>
      </x:c>
      <x:c r="K96" s="24" t="str">
        <x:v>—</x:v>
      </x:c>
    </x:row>
    <x:row r="97" ht="29" customHeight="1">
      <x:c r="A97" s="24" t="str">
        <x:v>第一岛链</x:v>
      </x:c>
      <x:c r="B97" s="24" t="str">
        <x:v>concept</x:v>
      </x:c>
      <x:c r="C97" s="24" t="str">
        <x:v>台海与印太海权</x:v>
      </x:c>
      <x:c r="D97" s="24" t="str">
        <x:v>maritime_deterrence</x:v>
      </x:c>
      <x:c r="E97" s="50" t="str">
        <x:v>描述西太平洋岛链的战略地理概念。</x:v>
      </x:c>
      <x:c r="F97" s="24" t="str">
        <x:v>["第一岛链", "First Island Chain", "第一岛链地理概念"]</x:v>
      </x:c>
      <x:c r="G97" s="25" t="b">
        <x:v>0</x:v>
      </x:c>
      <x:c r="H97" s="24" t="str">
        <x:v>2026-10-10</x:v>
      </x:c>
      <x:c r="I97" s="28" t="str">
        <x:v>https://www.reuters.com/world/china/us-says-chinese-actions-off-taiwan-are-deeply-destabilising-2026-10-10/</x:v>
      </x:c>
      <x:c r="J97" s="24" t="str">
        <x:v>主题相关性；不证明逐实体出现</x:v>
      </x:c>
      <x:c r="K97" s="24" t="str">
        <x:v>—</x:v>
      </x:c>
    </x:row>
    <x:row r="98" ht="29" customHeight="1">
      <x:c r="A98" s="24" t="str">
        <x:v>菲律宾海</x:v>
      </x:c>
      <x:c r="B98" s="24" t="str">
        <x:v>place</x:v>
      </x:c>
      <x:c r="C98" s="24" t="str">
        <x:v>台海与印太海权</x:v>
      </x:c>
      <x:c r="D98" s="24" t="str">
        <x:v>maritime_deterrence</x:v>
      </x:c>
      <x:c r="E98" s="50" t="str">
        <x:v>西太平洋海域，涉及海上交通与区域安全。</x:v>
      </x:c>
      <x:c r="F98" s="24" t="str">
        <x:v>["菲律宾海", "Philippine Sea"]</x:v>
      </x:c>
      <x:c r="G98" s="25" t="b">
        <x:v>0</x:v>
      </x:c>
      <x:c r="H98" s="24" t="str">
        <x:v>2026-10-10</x:v>
      </x:c>
      <x:c r="I98" s="28" t="str">
        <x:v>https://www.reuters.com/world/china/us-says-chinese-actions-off-taiwan-are-deeply-destabilising-2026-10-10/</x:v>
      </x:c>
      <x:c r="J98" s="24" t="str">
        <x:v>主题相关性；不证明逐实体出现</x:v>
      </x:c>
      <x:c r="K98" s="24" t="str">
        <x:v>—</x:v>
      </x:c>
    </x:row>
    <x:row r="99" ht="29" customHeight="1">
      <x:c r="A99" s="24" t="str">
        <x:v>台湾国防部</x:v>
      </x:c>
      <x:c r="B99" s="24" t="str">
        <x:v>org</x:v>
      </x:c>
      <x:c r="C99" s="24" t="str">
        <x:v>台海与印太海权</x:v>
      </x:c>
      <x:c r="D99" s="24" t="str">
        <x:v>maritime_deterrence</x:v>
      </x:c>
      <x:c r="E99" s="50" t="str">
        <x:v>台湾防务行政机关，发布区域安全动态。</x:v>
      </x:c>
      <x:c r="F99" s="24" t="str">
        <x:v>["台湾国防部", "Taiwan Ministry of National Defense", "台湾防务部门"]</x:v>
      </x:c>
      <x:c r="G99" s="25" t="b">
        <x:v>0</x:v>
      </x:c>
      <x:c r="H99" s="24" t="str">
        <x:v>2026-10-10</x:v>
      </x:c>
      <x:c r="I99" s="28" t="str">
        <x:v>https://www.reuters.com/world/china/us-says-chinese-actions-off-taiwan-are-deeply-destabilising-2026-10-10/</x:v>
      </x:c>
      <x:c r="J99" s="24" t="str">
        <x:v>主题相关性；不证明逐实体出现</x:v>
      </x:c>
      <x:c r="K99" s="24" t="str">
        <x:v>—</x:v>
      </x:c>
    </x:row>
    <x:row r="100" ht="29" customHeight="1">
      <x:c r="A100" s="24" t="str">
        <x:v>美国国务院</x:v>
      </x:c>
      <x:c r="B100" s="24" t="str">
        <x:v>org</x:v>
      </x:c>
      <x:c r="C100" s="24" t="str">
        <x:v>台海与印太海权</x:v>
      </x:c>
      <x:c r="D100" s="24" t="str">
        <x:v>maritime_deterrence</x:v>
      </x:c>
      <x:c r="E100" s="50" t="str">
        <x:v>美国对外政策部门，发布外交和地区安全立场。</x:v>
      </x:c>
      <x:c r="F100" s="24" t="str">
        <x:v>["美国国务院", "US State Department", "U.S. Department of State"]</x:v>
      </x:c>
      <x:c r="G100" s="25" t="b">
        <x:v>0</x:v>
      </x:c>
      <x:c r="H100" s="24" t="str">
        <x:v>2026-10-10</x:v>
      </x:c>
      <x:c r="I100" s="28" t="str">
        <x:v>https://www.reuters.com/world/china/us-says-chinese-actions-off-taiwan-are-deeply-destabilising-2026-10-10/</x:v>
      </x:c>
      <x:c r="J100" s="24" t="str">
        <x:v>主题相关性；不证明逐实体出现</x:v>
      </x:c>
      <x:c r="K100" s="24" t="str">
        <x:v>—</x:v>
      </x:c>
    </x:row>
    <x:row r="101" ht="29" customHeight="1">
      <x:c r="A101" s="24" t="str">
        <x:v>菲律宾海岸警卫队</x:v>
      </x:c>
      <x:c r="B101" s="24" t="str">
        <x:v>org</x:v>
      </x:c>
      <x:c r="C101" s="24" t="str">
        <x:v>南海与菲律宾海上摩擦</x:v>
      </x:c>
      <x:c r="D101" s="24" t="str">
        <x:v>maritime_dispute</x:v>
      </x:c>
      <x:c r="E101" s="50" t="str">
        <x:v>菲律宾海上执法机构，涉及南海海上执法冲突。</x:v>
      </x:c>
      <x:c r="F101" s="24" t="str">
        <x:v>["菲律宾海岸警卫队", "Philippine Coast Guard", "PCG", "菲律宾海警"]</x:v>
      </x:c>
      <x:c r="G101" s="25" t="b">
        <x:v>0</x:v>
      </x:c>
      <x:c r="H101" s="24" t="str">
        <x:v>2026-10-01</x:v>
      </x:c>
      <x:c r="I101" s="28" t="str">
        <x:v>https://www.reuters.com/world/china/philippines-sends-largest-ship-aircraft-drive-away-chinese-vessel-waters-near-2026-10-01/</x:v>
      </x:c>
      <x:c r="J101" s="24" t="str">
        <x:v>主题相关性；不证明逐实体出现</x:v>
      </x:c>
      <x:c r="K101" s="24" t="str">
        <x:v>—</x:v>
      </x:c>
    </x:row>
    <x:row r="102" ht="29" customHeight="1">
      <x:c r="A102" s="24" t="str">
        <x:v>菲律宾国防部</x:v>
      </x:c>
      <x:c r="B102" s="24" t="str">
        <x:v>org</x:v>
      </x:c>
      <x:c r="C102" s="24" t="str">
        <x:v>南海与菲律宾海上摩擦</x:v>
      </x:c>
      <x:c r="D102" s="24" t="str">
        <x:v>maritime_dispute</x:v>
      </x:c>
      <x:c r="E102" s="50" t="str">
        <x:v>菲律宾防务政策制定机构。</x:v>
      </x:c>
      <x:c r="F102" s="24" t="str">
        <x:v>["菲律宾国防部", "Department of National Defense Philippines", "菲律宾防长办公室"]</x:v>
      </x:c>
      <x:c r="G102" s="25" t="b">
        <x:v>0</x:v>
      </x:c>
      <x:c r="H102" s="24" t="str">
        <x:v>2026-10-01</x:v>
      </x:c>
      <x:c r="I102" s="28" t="str">
        <x:v>https://www.reuters.com/world/china/philippines-sends-largest-ship-aircraft-drive-away-chinese-vessel-waters-near-2026-10-01/</x:v>
      </x:c>
      <x:c r="J102" s="24" t="str">
        <x:v>主题相关性；不证明逐实体出现</x:v>
      </x:c>
      <x:c r="K102" s="24" t="str">
        <x:v>—</x:v>
      </x:c>
    </x:row>
    <x:row r="103" ht="29" customHeight="1">
      <x:c r="A103" s="24" t="str">
        <x:v>巴丹群岛</x:v>
      </x:c>
      <x:c r="B103" s="24" t="str">
        <x:v>place</x:v>
      </x:c>
      <x:c r="C103" s="24" t="str">
        <x:v>南海与菲律宾海上摩擦</x:v>
      </x:c>
      <x:c r="D103" s="24" t="str">
        <x:v>maritime_dispute</x:v>
      </x:c>
      <x:c r="E103" s="50" t="str">
        <x:v>菲律宾北部群岛，地理位置靠近台湾。</x:v>
      </x:c>
      <x:c r="F103" s="24" t="str">
        <x:v>["巴丹群岛", "Batanes", "巴丹省", "巴丹群岛省"]</x:v>
      </x:c>
      <x:c r="G103" s="25" t="b">
        <x:v>0</x:v>
      </x:c>
      <x:c r="H103" s="24" t="str">
        <x:v>2026-10-01</x:v>
      </x:c>
      <x:c r="I103" s="28" t="str">
        <x:v>https://www.reuters.com/world/china/philippines-sends-largest-ship-aircraft-drive-away-chinese-vessel-waters-near-2026-10-01/</x:v>
      </x:c>
      <x:c r="J103" s="24" t="str">
        <x:v>主题相关性；不证明逐实体出现</x:v>
      </x:c>
      <x:c r="K103" s="24" t="str">
        <x:v>—</x:v>
      </x:c>
    </x:row>
    <x:row r="104" ht="29" customHeight="1">
      <x:c r="A104" s="24" t="str">
        <x:v>南海</x:v>
      </x:c>
      <x:c r="B104" s="24" t="str">
        <x:v>place</x:v>
      </x:c>
      <x:c r="C104" s="24" t="str">
        <x:v>南海与菲律宾海上摩擦</x:v>
      </x:c>
      <x:c r="D104" s="24" t="str">
        <x:v>maritime_dispute</x:v>
      </x:c>
      <x:c r="E104" s="50" t="str">
        <x:v>亚洲重要贸易海域，多方海洋权利主张交叠。</x:v>
      </x:c>
      <x:c r="F104" s="24" t="str">
        <x:v>["南海", "South China Sea", "南中国海"]</x:v>
      </x:c>
      <x:c r="G104" s="25" t="b">
        <x:v>0</x:v>
      </x:c>
      <x:c r="H104" s="24" t="str">
        <x:v>2026-10-01</x:v>
      </x:c>
      <x:c r="I104" s="28" t="str">
        <x:v>https://www.reuters.com/world/china/philippines-sends-largest-ship-aircraft-drive-away-chinese-vessel-waters-near-2026-10-01/</x:v>
      </x:c>
      <x:c r="J104" s="24" t="str">
        <x:v>主题相关性；不证明逐实体出现</x:v>
      </x:c>
      <x:c r="K104" s="24" t="str">
        <x:v>—</x:v>
      </x:c>
    </x:row>
    <x:row r="105" ht="29" customHeight="1">
      <x:c r="A105" s="24" t="str">
        <x:v>仁爱礁</x:v>
      </x:c>
      <x:c r="B105" s="24" t="str">
        <x:v>place</x:v>
      </x:c>
      <x:c r="C105" s="24" t="str">
        <x:v>南海与菲律宾海上摩擦</x:v>
      </x:c>
      <x:c r="D105" s="24" t="str">
        <x:v>maritime_dispute</x:v>
      </x:c>
      <x:c r="E105" s="50" t="str">
        <x:v>南海争议海域的关键地点。</x:v>
      </x:c>
      <x:c r="F105" s="24" t="str">
        <x:v>["仁爱礁", "Second Thomas Shoal", "Ayungin Shoal", "阿云金浅滩"]</x:v>
      </x:c>
      <x:c r="G105" s="25" t="b">
        <x:v>0</x:v>
      </x:c>
      <x:c r="H105" s="24" t="str">
        <x:v>2026-10-01</x:v>
      </x:c>
      <x:c r="I105" s="28" t="str">
        <x:v>https://www.reuters.com/world/china/philippines-sends-largest-ship-aircraft-drive-away-chinese-vessel-waters-near-2026-10-01/</x:v>
      </x:c>
      <x:c r="J105" s="24" t="str">
        <x:v>主题相关性；不证明逐实体出现</x:v>
      </x:c>
      <x:c r="K105" s="24" t="str">
        <x:v>—</x:v>
      </x:c>
    </x:row>
    <x:row r="106" ht="29" customHeight="1">
      <x:c r="A106" s="24" t="str">
        <x:v>黄岩岛</x:v>
      </x:c>
      <x:c r="B106" s="24" t="str">
        <x:v>place</x:v>
      </x:c>
      <x:c r="C106" s="24" t="str">
        <x:v>南海与菲律宾海上摩擦</x:v>
      </x:c>
      <x:c r="D106" s="24" t="str">
        <x:v>maritime_dispute</x:v>
      </x:c>
      <x:c r="E106" s="50" t="str">
        <x:v>南海海洋权益争议地点。</x:v>
      </x:c>
      <x:c r="F106" s="24" t="str">
        <x:v>["黄岩岛", "Scarborough Shoal", "Bajo de Masinloc"]</x:v>
      </x:c>
      <x:c r="G106" s="25" t="b">
        <x:v>0</x:v>
      </x:c>
      <x:c r="H106" s="24" t="str">
        <x:v>2026-10-01</x:v>
      </x:c>
      <x:c r="I106" s="28" t="str">
        <x:v>https://www.reuters.com/world/china/philippines-sends-largest-ship-aircraft-drive-away-chinese-vessel-waters-near-2026-10-01/</x:v>
      </x:c>
      <x:c r="J106" s="24" t="str">
        <x:v>主题相关性；不证明逐实体出现</x:v>
      </x:c>
      <x:c r="K106" s="24" t="str">
        <x:v>—</x:v>
      </x:c>
    </x:row>
    <x:row r="107" ht="29" customHeight="1">
      <x:c r="A107" s="24" t="str">
        <x:v>美国商务部</x:v>
      </x:c>
      <x:c r="B107" s="24" t="str">
        <x:v>org</x:v>
      </x:c>
      <x:c r="C107" s="24" t="str">
        <x:v>中美欧贸易与出口管制</x:v>
      </x:c>
      <x:c r="D107" s="24" t="str">
        <x:v>tariff_export_controls</x:v>
      </x:c>
      <x:c r="E107" s="50" t="str">
        <x:v>负责美国商业及出口管制事务的联邦机构。</x:v>
      </x:c>
      <x:c r="F107" s="24" t="str">
        <x:v>["美国商务部", "U.S. Department of Commerce", "US Commerce Department"]</x:v>
      </x:c>
      <x:c r="G107" s="25" t="b">
        <x:v>0</x:v>
      </x:c>
      <x:c r="H107" s="24" t="str">
        <x:v>2026-10-01</x:v>
      </x:c>
      <x:c r="I107" s="28" t="str">
        <x:v>https://ca.marketscreener.com/news/us-slows-aircraft-part-exports-to-china-as-trump-seeks-leverage-in-trade-negotiations-sources-say-ce785ad3de89f421</x:v>
      </x:c>
      <x:c r="J107" s="24" t="str">
        <x:v>主题相关性；不证明逐实体出现</x:v>
      </x:c>
      <x:c r="K107" s="24" t="str">
        <x:v>—</x:v>
      </x:c>
    </x:row>
    <x:row r="108" ht="29" customHeight="1">
      <x:c r="A108" s="24" t="str">
        <x:v>美国工业和安全局</x:v>
      </x:c>
      <x:c r="B108" s="24" t="str">
        <x:v>org</x:v>
      </x:c>
      <x:c r="C108" s="24" t="str">
        <x:v>中美欧贸易与出口管制</x:v>
      </x:c>
      <x:c r="D108" s="24" t="str">
        <x:v>tariff_export_controls</x:v>
      </x:c>
      <x:c r="E108" s="50" t="str">
        <x:v>美国商务部下属出口管制执法机构。</x:v>
      </x:c>
      <x:c r="F108" s="24" t="str">
        <x:v>["美国工业和安全局", "BIS", "Bureau of Industry and Security"]</x:v>
      </x:c>
      <x:c r="G108" s="25" t="b">
        <x:v>0</x:v>
      </x:c>
      <x:c r="H108" s="24" t="str">
        <x:v>2026-10-01</x:v>
      </x:c>
      <x:c r="I108" s="28" t="str">
        <x:v>https://ca.marketscreener.com/news/us-slows-aircraft-part-exports-to-china-as-trump-seeks-leverage-in-trade-negotiations-sources-say-ce785ad3de89f421</x:v>
      </x:c>
      <x:c r="J108" s="24" t="str">
        <x:v>主题相关性；不证明逐实体出现</x:v>
      </x:c>
      <x:c r="K108" s="24" t="str">
        <x:v>—</x:v>
      </x:c>
    </x:row>
    <x:row r="109" ht="29" customHeight="1">
      <x:c r="A109" s="24" t="str">
        <x:v>中国商务部</x:v>
      </x:c>
      <x:c r="B109" s="24" t="str">
        <x:v>org</x:v>
      </x:c>
      <x:c r="C109" s="24" t="str">
        <x:v>中美欧贸易与出口管制</x:v>
      </x:c>
      <x:c r="D109" s="24" t="str">
        <x:v>tariff_export_controls</x:v>
      </x:c>
      <x:c r="E109" s="50" t="str">
        <x:v>中国对外贸易和出口管制相关政策机构。</x:v>
      </x:c>
      <x:c r="F109" s="24" t="str">
        <x:v>["中国商务部", "MOFCOM", "中华人民共和国商务部"]</x:v>
      </x:c>
      <x:c r="G109" s="25" t="b">
        <x:v>0</x:v>
      </x:c>
      <x:c r="H109" s="24" t="str">
        <x:v>2026-10-01</x:v>
      </x:c>
      <x:c r="I109" s="28" t="str">
        <x:v>https://ca.marketscreener.com/news/us-slows-aircraft-part-exports-to-china-as-trump-seeks-leverage-in-trade-negotiations-sources-say-ce785ad3de89f421</x:v>
      </x:c>
      <x:c r="J109" s="24" t="str">
        <x:v>主题相关性；不证明逐实体出现</x:v>
      </x:c>
      <x:c r="K109" s="24" t="str">
        <x:v>—</x:v>
      </x:c>
    </x:row>
    <x:row r="110" ht="29" customHeight="1">
      <x:c r="A110" s="24" t="str">
        <x:v>美国贸易代表办公室</x:v>
      </x:c>
      <x:c r="B110" s="24" t="str">
        <x:v>org</x:v>
      </x:c>
      <x:c r="C110" s="24" t="str">
        <x:v>中美欧贸易与出口管制</x:v>
      </x:c>
      <x:c r="D110" s="24" t="str">
        <x:v>tariff_export_controls</x:v>
      </x:c>
      <x:c r="E110" s="50" t="str">
        <x:v>美国贸易谈判与关税政策机构。</x:v>
      </x:c>
      <x:c r="F110" s="24" t="str">
        <x:v>["美国贸易代表办公室", "USTR", "Office of the United States Trade Representative"]</x:v>
      </x:c>
      <x:c r="G110" s="25" t="b">
        <x:v>0</x:v>
      </x:c>
      <x:c r="H110" s="24" t="str">
        <x:v>2026-10-01</x:v>
      </x:c>
      <x:c r="I110" s="28" t="str">
        <x:v>https://ca.marketscreener.com/news/us-slows-aircraft-part-exports-to-china-as-trump-seeks-leverage-in-trade-negotiations-sources-say-ce785ad3de89f421</x:v>
      </x:c>
      <x:c r="J110" s="24" t="str">
        <x:v>主题相关性；不证明逐实体出现</x:v>
      </x:c>
      <x:c r="K110" s="24" t="str">
        <x:v>—</x:v>
      </x:c>
    </x:row>
    <x:row r="111" ht="29" customHeight="1">
      <x:c r="A111" s="24" t="str">
        <x:v>世界贸易组织</x:v>
      </x:c>
      <x:c r="B111" s="24" t="str">
        <x:v>org</x:v>
      </x:c>
      <x:c r="C111" s="24" t="str">
        <x:v>中美欧贸易与出口管制</x:v>
      </x:c>
      <x:c r="D111" s="24" t="str">
        <x:v>tariff_export_controls</x:v>
      </x:c>
      <x:c r="E111" s="50" t="str">
        <x:v>多边贸易规则与争端解决相关国际机构。</x:v>
      </x:c>
      <x:c r="F111" s="24" t="str">
        <x:v>["世界贸易组织", "WTO", "World Trade Organization", "世贸组织"]</x:v>
      </x:c>
      <x:c r="G111" s="25" t="b">
        <x:v>0</x:v>
      </x:c>
      <x:c r="H111" s="24" t="str">
        <x:v>2026-10-01</x:v>
      </x:c>
      <x:c r="I111" s="28" t="str">
        <x:v>https://ca.marketscreener.com/news/us-slows-aircraft-part-exports-to-china-as-trump-seeks-leverage-in-trade-negotiations-sources-say-ce785ad3de89f421</x:v>
      </x:c>
      <x:c r="J111" s="24" t="str">
        <x:v>主题相关性；不证明逐实体出现</x:v>
      </x:c>
      <x:c r="K111" s="24" t="str">
        <x:v>—</x:v>
      </x:c>
    </x:row>
    <x:row r="112" ht="29" customHeight="1">
      <x:c r="A112" s="24" t="str">
        <x:v>空中客车</x:v>
      </x:c>
      <x:c r="B112" s="24" t="str">
        <x:v>org</x:v>
      </x:c>
      <x:c r="C112" s="24" t="str">
        <x:v>中美欧贸易与出口管制</x:v>
      </x:c>
      <x:c r="D112" s="24" t="str">
        <x:v>tariff_export_controls</x:v>
      </x:c>
      <x:c r="E112" s="50" t="str">
        <x:v>全球商用飞机制造企业，跨境零部件供应链主体。</x:v>
      </x:c>
      <x:c r="F112" s="24" t="str">
        <x:v>["空中客车", "Airbus", "空客"]</x:v>
      </x:c>
      <x:c r="G112" s="25" t="b">
        <x:v>0</x:v>
      </x:c>
      <x:c r="H112" s="24" t="str">
        <x:v>2026-10-01</x:v>
      </x:c>
      <x:c r="I112" s="28" t="str">
        <x:v>https://ca.marketscreener.com/news/us-slows-aircraft-part-exports-to-china-as-trump-seeks-leverage-in-trade-negotiations-sources-say-ce785ad3de89f421</x:v>
      </x:c>
      <x:c r="J112" s="24" t="str">
        <x:v>主题相关性；不证明逐实体出现</x:v>
      </x:c>
      <x:c r="K112" s="24" t="str">
        <x:v>—</x:v>
      </x:c>
    </x:row>
    <x:row r="113" ht="29" customHeight="1">
      <x:c r="A113" s="24" t="str">
        <x:v>波音</x:v>
      </x:c>
      <x:c r="B113" s="24" t="str">
        <x:v>org</x:v>
      </x:c>
      <x:c r="C113" s="24" t="str">
        <x:v>中美欧贸易与出口管制</x:v>
      </x:c>
      <x:c r="D113" s="24" t="str">
        <x:v>tariff_export_controls</x:v>
      </x:c>
      <x:c r="E113" s="50" t="str">
        <x:v>全球商用飞机制造企业，涉及出口许可与航空供应链。</x:v>
      </x:c>
      <x:c r="F113" s="24" t="str">
        <x:v>["波音", "Boeing", "波音公司"]</x:v>
      </x:c>
      <x:c r="G113" s="25" t="b">
        <x:v>0</x:v>
      </x:c>
      <x:c r="H113" s="24" t="str">
        <x:v>2026-10-01</x:v>
      </x:c>
      <x:c r="I113" s="28" t="str">
        <x:v>https://ca.marketscreener.com/news/us-slows-aircraft-part-exports-to-china-as-trump-seeks-leverage-in-trade-negotiations-sources-say-ce785ad3de89f421</x:v>
      </x:c>
      <x:c r="J113" s="24" t="str">
        <x:v>主题相关性；不证明逐实体出现</x:v>
      </x:c>
      <x:c r="K113" s="24" t="str">
        <x:v>—</x:v>
      </x:c>
    </x:row>
    <x:row r="114" ht="29" customHeight="1">
      <x:c r="A114" s="24" t="str">
        <x:v>通用电气航空航天</x:v>
      </x:c>
      <x:c r="B114" s="24" t="str">
        <x:v>org</x:v>
      </x:c>
      <x:c r="C114" s="24" t="str">
        <x:v>中美欧贸易与出口管制</x:v>
      </x:c>
      <x:c r="D114" s="24" t="str">
        <x:v>tariff_export_controls</x:v>
      </x:c>
      <x:c r="E114" s="50" t="str">
        <x:v>航空发动机与关键零部件供应商。</x:v>
      </x:c>
      <x:c r="F114" s="24" t="str">
        <x:v>["通用电气航空航天", "GE Aerospace", "GE航空航天"]</x:v>
      </x:c>
      <x:c r="G114" s="25" t="b">
        <x:v>0</x:v>
      </x:c>
      <x:c r="H114" s="24" t="str">
        <x:v>2026-10-01</x:v>
      </x:c>
      <x:c r="I114" s="28" t="str">
        <x:v>https://ca.marketscreener.com/news/us-slows-aircraft-part-exports-to-china-as-trump-seeks-leverage-in-trade-negotiations-sources-say-ce785ad3de89f421</x:v>
      </x:c>
      <x:c r="J114" s="24" t="str">
        <x:v>主题相关性；不证明逐实体出现</x:v>
      </x:c>
      <x:c r="K114" s="24" t="str">
        <x:v>—</x:v>
      </x:c>
    </x:row>
    <x:row r="115" ht="29" customHeight="1">
      <x:c r="A115" s="24" t="str">
        <x:v>中国商用飞机</x:v>
      </x:c>
      <x:c r="B115" s="24" t="str">
        <x:v>org</x:v>
      </x:c>
      <x:c r="C115" s="24" t="str">
        <x:v>中美欧贸易与出口管制</x:v>
      </x:c>
      <x:c r="D115" s="24" t="str">
        <x:v>tariff_export_controls</x:v>
      </x:c>
      <x:c r="E115" s="50" t="str">
        <x:v>中国商用飞机制造企业，涉及全球供应链。</x:v>
      </x:c>
      <x:c r="F115" s="24" t="str">
        <x:v>["中国商用飞机", "中国商用飞机有限责任公司", "COMAC", "中国商飞", "商飞"]</x:v>
      </x:c>
      <x:c r="G115" s="25" t="b">
        <x:v>0</x:v>
      </x:c>
      <x:c r="H115" s="24" t="str">
        <x:v>2026-10-01</x:v>
      </x:c>
      <x:c r="I115" s="28" t="str">
        <x:v>https://ca.marketscreener.com/news/us-slows-aircraft-part-exports-to-china-as-trump-seeks-leverage-in-trade-negotiations-sources-say-ce785ad3de89f421</x:v>
      </x:c>
      <x:c r="J115" s="24" t="str">
        <x:v>主题相关性；不证明逐实体出现</x:v>
      </x:c>
      <x:c r="K115" s="24" t="str">
        <x:v>原名：中国商用飞机有限责任公司</x:v>
      </x:c>
    </x:row>
    <x:row r="116" ht="29" customHeight="1">
      <x:c r="A116" s="24" t="str">
        <x:v>唐纳德·特朗普</x:v>
      </x:c>
      <x:c r="B116" s="24" t="str">
        <x:v>person</x:v>
      </x:c>
      <x:c r="C116" s="24" t="str">
        <x:v>中美欧贸易与出口管制</x:v>
      </x:c>
      <x:c r="D116" s="24" t="str">
        <x:v>tariff_export_controls</x:v>
      </x:c>
      <x:c r="E116" s="50" t="str">
        <x:v>美国政治人物，关税、能源及地缘政策决策相关。</x:v>
      </x:c>
      <x:c r="F116" s="24" t="str">
        <x:v>["唐纳德·特朗普", "Donald Trump", "特朗普"]</x:v>
      </x:c>
      <x:c r="G116" s="25" t="b">
        <x:v>0</x:v>
      </x:c>
      <x:c r="H116" s="24" t="str">
        <x:v>2026-10-01</x:v>
      </x:c>
      <x:c r="I116" s="28" t="str">
        <x:v>https://ca.marketscreener.com/news/us-slows-aircraft-part-exports-to-china-as-trump-seeks-leverage-in-trade-negotiations-sources-say-ce785ad3de89f421</x:v>
      </x:c>
      <x:c r="J116" s="24" t="str">
        <x:v>主题相关性；不证明逐实体出现</x:v>
      </x:c>
      <x:c r="K116" s="24" t="str">
        <x:v>—</x:v>
      </x:c>
    </x:row>
    <x:row r="117" ht="29" customHeight="1">
      <x:c r="A117" s="24" t="str">
        <x:v>习近平</x:v>
      </x:c>
      <x:c r="B117" s="24" t="str">
        <x:v>person</x:v>
      </x:c>
      <x:c r="C117" s="24" t="str">
        <x:v>中美欧贸易与出口管制</x:v>
      </x:c>
      <x:c r="D117" s="24" t="str">
        <x:v>tariff_export_controls</x:v>
      </x:c>
      <x:c r="E117" s="50" t="str">
        <x:v>中国政治人物，参与对外经贸与外交政策决策。</x:v>
      </x:c>
      <x:c r="F117" s="24" t="str">
        <x:v>["习近平", "Xi Jinping", "中国国家主席习近平"]</x:v>
      </x:c>
      <x:c r="G117" s="25" t="b">
        <x:v>0</x:v>
      </x:c>
      <x:c r="H117" s="24" t="str">
        <x:v>2026-10-01</x:v>
      </x:c>
      <x:c r="I117" s="28" t="str">
        <x:v>https://ca.marketscreener.com/news/us-slows-aircraft-part-exports-to-china-as-trump-seeks-leverage-in-trade-negotiations-sources-say-ce785ad3de89f421</x:v>
      </x:c>
      <x:c r="J117" s="24" t="str">
        <x:v>主题相关性；不证明逐实体出现</x:v>
      </x:c>
      <x:c r="K117" s="24" t="str">
        <x:v>—</x:v>
      </x:c>
    </x:row>
    <x:row r="118" ht="29" customHeight="1">
      <x:c r="A118" s="24" t="str">
        <x:v>关税豁免</x:v>
      </x:c>
      <x:c r="B118" s="24" t="str">
        <x:v>concept</x:v>
      </x:c>
      <x:c r="C118" s="24" t="str">
        <x:v>中美欧贸易与出口管制</x:v>
      </x:c>
      <x:c r="D118" s="24" t="str">
        <x:v>tariff_export_controls</x:v>
      </x:c>
      <x:c r="E118" s="50" t="str">
        <x:v>国际贸易政策工具，影响跨境价格与进口成本。</x:v>
      </x:c>
      <x:c r="F118" s="24" t="str">
        <x:v>["关税豁免", "Tariff Exemption", "关税减免豁免"]</x:v>
      </x:c>
      <x:c r="G118" s="25" t="b">
        <x:v>0</x:v>
      </x:c>
      <x:c r="H118" s="24" t="str">
        <x:v>2026-10-01</x:v>
      </x:c>
      <x:c r="I118" s="28" t="str">
        <x:v>https://ca.marketscreener.com/news/us-slows-aircraft-part-exports-to-china-as-trump-seeks-leverage-in-trade-negotiations-sources-say-ce785ad3de89f421</x:v>
      </x:c>
      <x:c r="J118" s="24" t="str">
        <x:v>主题相关性；不证明逐实体出现</x:v>
      </x:c>
      <x:c r="K118" s="24" t="str">
        <x:v>—</x:v>
      </x:c>
    </x:row>
    <x:row r="119" ht="29" customHeight="1">
      <x:c r="A119" s="24" t="str">
        <x:v>欧盟贸易总司</x:v>
      </x:c>
      <x:c r="B119" s="24" t="str">
        <x:v>org</x:v>
      </x:c>
      <x:c r="C119" s="24" t="str">
        <x:v>欧盟与中国汽车贸易</x:v>
      </x:c>
      <x:c r="D119" s="24" t="str">
        <x:v>trade_remedies</x:v>
      </x:c>
      <x:c r="E119" s="50" t="str">
        <x:v>欧盟委员会主管贸易政策的部门。</x:v>
      </x:c>
      <x:c r="F119" s="24" t="str">
        <x:v>["欧盟贸易总司", "DG TRADE", "Directorate-General for Trade"]</x:v>
      </x:c>
      <x:c r="G119" s="25" t="b">
        <x:v>0</x:v>
      </x:c>
      <x:c r="H119" s="24" t="str">
        <x:v>2026-10-10</x:v>
      </x:c>
      <x:c r="I119" s="28" t="str">
        <x:v>https://apnews.com/article/54c9c71e85f92dc0003780fc53f0b250</x:v>
      </x:c>
      <x:c r="J119" s="24" t="str">
        <x:v>主题相关性；不证明逐实体出现</x:v>
      </x:c>
      <x:c r="K119" s="24" t="str">
        <x:v>—</x:v>
      </x:c>
    </x:row>
    <x:row r="120" ht="29" customHeight="1">
      <x:c r="A120" s="24" t="str">
        <x:v>欧洲汽车制造商协会</x:v>
      </x:c>
      <x:c r="B120" s="24" t="str">
        <x:v>org</x:v>
      </x:c>
      <x:c r="C120" s="24" t="str">
        <x:v>欧盟与中国汽车贸易</x:v>
      </x:c>
      <x:c r="D120" s="24" t="str">
        <x:v>trade_remedies</x:v>
      </x:c>
      <x:c r="E120" s="50" t="str">
        <x:v>欧洲汽车制造商行业组织。</x:v>
      </x:c>
      <x:c r="F120" s="24" t="str">
        <x:v>["欧洲汽车制造商协会", "ACEA", "European Automobile Manufacturers Association"]</x:v>
      </x:c>
      <x:c r="G120" s="25" t="b">
        <x:v>0</x:v>
      </x:c>
      <x:c r="H120" s="24" t="str">
        <x:v>2026-10-10</x:v>
      </x:c>
      <x:c r="I120" s="28" t="str">
        <x:v>https://apnews.com/article/54c9c71e85f92dc0003780fc53f0b250</x:v>
      </x:c>
      <x:c r="J120" s="24" t="str">
        <x:v>主题相关性；不证明逐实体出现</x:v>
      </x:c>
      <x:c r="K120" s="24" t="str">
        <x:v>—</x:v>
      </x:c>
    </x:row>
    <x:row r="121" ht="29" customHeight="1">
      <x:c r="A121" s="24" t="str">
        <x:v>中国汽车工业协会</x:v>
      </x:c>
      <x:c r="B121" s="24" t="str">
        <x:v>org</x:v>
      </x:c>
      <x:c r="C121" s="24" t="str">
        <x:v>欧盟与中国汽车贸易</x:v>
      </x:c>
      <x:c r="D121" s="24" t="str">
        <x:v>trade_remedies</x:v>
      </x:c>
      <x:c r="E121" s="50" t="str">
        <x:v>中国汽车工业行业组织。</x:v>
      </x:c>
      <x:c r="F121" s="24" t="str">
        <x:v>["中国汽车工业协会", "CAAM", "中国汽协"]</x:v>
      </x:c>
      <x:c r="G121" s="25" t="b">
        <x:v>0</x:v>
      </x:c>
      <x:c r="H121" s="24" t="str">
        <x:v>2026-10-10</x:v>
      </x:c>
      <x:c r="I121" s="28" t="str">
        <x:v>https://apnews.com/article/54c9c71e85f92dc0003780fc53f0b250</x:v>
      </x:c>
      <x:c r="J121" s="24" t="str">
        <x:v>主题相关性；不证明逐实体出现</x:v>
      </x:c>
      <x:c r="K121" s="24" t="str">
        <x:v>—</x:v>
      </x:c>
    </x:row>
    <x:row r="122" ht="29" customHeight="1">
      <x:c r="A122" s="24" t="str">
        <x:v>比亚迪</x:v>
      </x:c>
      <x:c r="B122" s="24" t="str">
        <x:v>org</x:v>
      </x:c>
      <x:c r="C122" s="24" t="str">
        <x:v>欧盟与中国汽车贸易</x:v>
      </x:c>
      <x:c r="D122" s="24" t="str">
        <x:v>trade_remedies</x:v>
      </x:c>
      <x:c r="E122" s="50" t="str">
        <x:v>新能源车及电池产业企业。</x:v>
      </x:c>
      <x:c r="F122" s="24" t="str">
        <x:v>["比亚迪", "BYD", "比亚迪股份"]</x:v>
      </x:c>
      <x:c r="G122" s="25" t="b">
        <x:v>0</x:v>
      </x:c>
      <x:c r="H122" s="24" t="str">
        <x:v>2026-10-10</x:v>
      </x:c>
      <x:c r="I122" s="28" t="str">
        <x:v>https://apnews.com/article/54c9c71e85f92dc0003780fc53f0b250</x:v>
      </x:c>
      <x:c r="J122" s="24" t="str">
        <x:v>主题相关性；不证明逐实体出现</x:v>
      </x:c>
      <x:c r="K122" s="24" t="str">
        <x:v>—</x:v>
      </x:c>
    </x:row>
    <x:row r="123" ht="29" customHeight="1">
      <x:c r="A123" s="24" t="str">
        <x:v>吉利汽车</x:v>
      </x:c>
      <x:c r="B123" s="24" t="str">
        <x:v>org</x:v>
      </x:c>
      <x:c r="C123" s="24" t="str">
        <x:v>欧盟与中国汽车贸易</x:v>
      </x:c>
      <x:c r="D123" s="24" t="str">
        <x:v>trade_remedies</x:v>
      </x:c>
      <x:c r="E123" s="50" t="str">
        <x:v>中国汽车制造商，与全球汽车贸易相关。</x:v>
      </x:c>
      <x:c r="F123" s="24" t="str">
        <x:v>["吉利汽车", "Geely Auto", "吉利", "吉利控股旗下汽车业务"]</x:v>
      </x:c>
      <x:c r="G123" s="25" t="b">
        <x:v>0</x:v>
      </x:c>
      <x:c r="H123" s="24" t="str">
        <x:v>2026-10-10</x:v>
      </x:c>
      <x:c r="I123" s="28" t="str">
        <x:v>https://apnews.com/article/54c9c71e85f92dc0003780fc53f0b250</x:v>
      </x:c>
      <x:c r="J123" s="24" t="str">
        <x:v>主题相关性；不证明逐实体出现</x:v>
      </x:c>
      <x:c r="K123" s="24" t="str">
        <x:v>—</x:v>
      </x:c>
    </x:row>
    <x:row r="124" ht="29" customHeight="1">
      <x:c r="A124" s="24" t="str">
        <x:v>大众汽车</x:v>
      </x:c>
      <x:c r="B124" s="24" t="str">
        <x:v>org</x:v>
      </x:c>
      <x:c r="C124" s="24" t="str">
        <x:v>欧盟与中国汽车贸易</x:v>
      </x:c>
      <x:c r="D124" s="24" t="str">
        <x:v>trade_remedies</x:v>
      </x:c>
      <x:c r="E124" s="50" t="str">
        <x:v>欧洲汽车制造商，牵涉电动化与中国市场。</x:v>
      </x:c>
      <x:c r="F124" s="24" t="str">
        <x:v>["大众汽车", "大众汽车集团", "Volkswagen Group", "VW Group", "大众集团"]</x:v>
      </x:c>
      <x:c r="G124" s="25" t="b">
        <x:v>0</x:v>
      </x:c>
      <x:c r="H124" s="24" t="str">
        <x:v>2026-10-10</x:v>
      </x:c>
      <x:c r="I124" s="28" t="str">
        <x:v>https://apnews.com/article/54c9c71e85f92dc0003780fc53f0b250</x:v>
      </x:c>
      <x:c r="J124" s="24" t="str">
        <x:v>主题相关性；不证明逐实体出现</x:v>
      </x:c>
      <x:c r="K124" s="24" t="str">
        <x:v>原名：大众汽车集团</x:v>
      </x:c>
    </x:row>
    <x:row r="125" ht="29" customHeight="1">
      <x:c r="A125" s="24" t="str">
        <x:v>宝马</x:v>
      </x:c>
      <x:c r="B125" s="24" t="str">
        <x:v>org</x:v>
      </x:c>
      <x:c r="C125" s="24" t="str">
        <x:v>欧盟与中国汽车贸易</x:v>
      </x:c>
      <x:c r="D125" s="24" t="str">
        <x:v>trade_remedies</x:v>
      </x:c>
      <x:c r="E125" s="50" t="str">
        <x:v>欧洲汽车制造商，涉及跨境汽车产业链。</x:v>
      </x:c>
      <x:c r="F125" s="24" t="str">
        <x:v>["宝马", "宝马集团", "BMW Group", "BMW"]</x:v>
      </x:c>
      <x:c r="G125" s="25" t="b">
        <x:v>0</x:v>
      </x:c>
      <x:c r="H125" s="24" t="str">
        <x:v>2026-10-10</x:v>
      </x:c>
      <x:c r="I125" s="28" t="str">
        <x:v>https://apnews.com/article/54c9c71e85f92dc0003780fc53f0b250</x:v>
      </x:c>
      <x:c r="J125" s="24" t="str">
        <x:v>主题相关性；不证明逐实体出现</x:v>
      </x:c>
      <x:c r="K125" s="24" t="str">
        <x:v>原名：宝马集团</x:v>
      </x:c>
    </x:row>
    <x:row r="126" ht="29" customHeight="1">
      <x:c r="A126" s="24" t="str">
        <x:v>欧盟电动车反补贴调查</x:v>
      </x:c>
      <x:c r="B126" s="24" t="str">
        <x:v>concept</x:v>
      </x:c>
      <x:c r="C126" s="24" t="str">
        <x:v>欧盟与中国汽车贸易</x:v>
      </x:c>
      <x:c r="D126" s="24" t="str">
        <x:v>trade_remedies</x:v>
      </x:c>
      <x:c r="E126" s="50" t="str">
        <x:v>欧盟针对进口电动车的贸易救济政策议题。</x:v>
      </x:c>
      <x:c r="F126" s="24" t="str">
        <x:v>["欧盟电动车反补贴调查", "EU EV anti-subsidy measures", "欧盟电动汽车反补贴"]</x:v>
      </x:c>
      <x:c r="G126" s="25" t="b">
        <x:v>0</x:v>
      </x:c>
      <x:c r="H126" s="24" t="str">
        <x:v>2026-10-10</x:v>
      </x:c>
      <x:c r="I126" s="28" t="str">
        <x:v>https://apnews.com/article/54c9c71e85f92dc0003780fc53f0b250</x:v>
      </x:c>
      <x:c r="J126" s="24" t="str">
        <x:v>主题相关性；不证明逐实体出现</x:v>
      </x:c>
      <x:c r="K126" s="24" t="str">
        <x:v>—</x:v>
      </x:c>
    </x:row>
    <x:row r="127" ht="29" customHeight="1">
      <x:c r="A127" s="24" t="str">
        <x:v>稀土永磁体</x:v>
      </x:c>
      <x:c r="B127" s="24" t="str">
        <x:v>commodity</x:v>
      </x:c>
      <x:c r="C127" s="24" t="str">
        <x:v>稀土与关键矿产</x:v>
      </x:c>
      <x:c r="D127" s="24" t="str">
        <x:v>critical_minerals_supply</x:v>
      </x:c>
      <x:c r="E127" s="50" t="str">
        <x:v>用于电机、军工和新能源装备的磁性材料。</x:v>
      </x:c>
      <x:c r="F127" s="24" t="str">
        <x:v>["稀土永磁体", "Rare Earth Permanent Magnets", "钕铁硼磁体", "稀土磁体"]</x:v>
      </x:c>
      <x:c r="G127" s="25" t="b">
        <x:v>0</x:v>
      </x:c>
      <x:c r="H127" s="24" t="str">
        <x:v>2026-09-14</x:v>
      </x:c>
      <x:c r="I127" s="28" t="str">
        <x:v>https://www.reuters.com/business/energy/us-invests-critical-minerals-china-maintains-grip--reeii-2026-09-14/</x:v>
      </x:c>
      <x:c r="J127" s="24" t="str">
        <x:v>主题相关性；不证明逐实体出现</x:v>
      </x:c>
      <x:c r="K127" s="24" t="str">
        <x:v>—</x:v>
      </x:c>
    </x:row>
    <x:row r="128" ht="29" customHeight="1">
      <x:c r="A128" s="24" t="str">
        <x:v>钕</x:v>
      </x:c>
      <x:c r="B128" s="24" t="str">
        <x:v>commodity</x:v>
      </x:c>
      <x:c r="C128" s="24" t="str">
        <x:v>稀土与关键矿产</x:v>
      </x:c>
      <x:c r="D128" s="24" t="str">
        <x:v>critical_minerals_supply</x:v>
      </x:c>
      <x:c r="E128" s="50" t="str">
        <x:v>用于高性能永磁材料的稀土元素。</x:v>
      </x:c>
      <x:c r="F128" s="24" t="str">
        <x:v>["钕", "Neodymium", "Nd", "钕元素"]</x:v>
      </x:c>
      <x:c r="G128" s="25" t="b">
        <x:v>0</x:v>
      </x:c>
      <x:c r="H128" s="24" t="str">
        <x:v>2026-09-14</x:v>
      </x:c>
      <x:c r="I128" s="28" t="str">
        <x:v>https://www.reuters.com/business/energy/us-invests-critical-minerals-china-maintains-grip--reeii-2026-09-14/</x:v>
      </x:c>
      <x:c r="J128" s="24" t="str">
        <x:v>主题相关性；不证明逐实体出现</x:v>
      </x:c>
      <x:c r="K128" s="24" t="str">
        <x:v>—</x:v>
      </x:c>
    </x:row>
    <x:row r="129" ht="29" customHeight="1">
      <x:c r="A129" s="24" t="str">
        <x:v>镝</x:v>
      </x:c>
      <x:c r="B129" s="24" t="str">
        <x:v>commodity</x:v>
      </x:c>
      <x:c r="C129" s="24" t="str">
        <x:v>稀土与关键矿产</x:v>
      </x:c>
      <x:c r="D129" s="24" t="str">
        <x:v>critical_minerals_supply</x:v>
      </x:c>
      <x:c r="E129" s="50" t="str">
        <x:v>可提升高温永磁体性能的稀土元素。</x:v>
      </x:c>
      <x:c r="F129" s="24" t="str">
        <x:v>["镝", "Dysprosium", "Dy", "镝元素"]</x:v>
      </x:c>
      <x:c r="G129" s="25" t="b">
        <x:v>0</x:v>
      </x:c>
      <x:c r="H129" s="24" t="str">
        <x:v>2026-09-14</x:v>
      </x:c>
      <x:c r="I129" s="28" t="str">
        <x:v>https://www.reuters.com/business/energy/us-invests-critical-minerals-china-maintains-grip--reeii-2026-09-14/</x:v>
      </x:c>
      <x:c r="J129" s="24" t="str">
        <x:v>主题相关性；不证明逐实体出现</x:v>
      </x:c>
      <x:c r="K129" s="24" t="str">
        <x:v>—</x:v>
      </x:c>
    </x:row>
    <x:row r="130" ht="29" customHeight="1">
      <x:c r="A130" s="24" t="str">
        <x:v>铽</x:v>
      </x:c>
      <x:c r="B130" s="24" t="str">
        <x:v>commodity</x:v>
      </x:c>
      <x:c r="C130" s="24" t="str">
        <x:v>稀土与关键矿产</x:v>
      </x:c>
      <x:c r="D130" s="24" t="str">
        <x:v>critical_minerals_supply</x:v>
      </x:c>
      <x:c r="E130" s="50" t="str">
        <x:v>用于高性能稀土磁体等材料的稀土元素。</x:v>
      </x:c>
      <x:c r="F130" s="24" t="str">
        <x:v>["铽", "Terbium", "Tb", "铽元素"]</x:v>
      </x:c>
      <x:c r="G130" s="25" t="b">
        <x:v>0</x:v>
      </x:c>
      <x:c r="H130" s="24" t="str">
        <x:v>2026-09-14</x:v>
      </x:c>
      <x:c r="I130" s="28" t="str">
        <x:v>https://www.reuters.com/business/energy/us-invests-critical-minerals-china-maintains-grip--reeii-2026-09-14/</x:v>
      </x:c>
      <x:c r="J130" s="24" t="str">
        <x:v>主题相关性；不证明逐实体出现</x:v>
      </x:c>
      <x:c r="K130" s="24" t="str">
        <x:v>—</x:v>
      </x:c>
    </x:row>
    <x:row r="131" ht="29" customHeight="1">
      <x:c r="A131" s="24" t="str">
        <x:v>钇</x:v>
      </x:c>
      <x:c r="B131" s="24" t="str">
        <x:v>commodity</x:v>
      </x:c>
      <x:c r="C131" s="24" t="str">
        <x:v>稀土与关键矿产</x:v>
      </x:c>
      <x:c r="D131" s="24" t="str">
        <x:v>critical_minerals_supply</x:v>
      </x:c>
      <x:c r="E131" s="50" t="str">
        <x:v>工业及高技术材料使用的关键元素。</x:v>
      </x:c>
      <x:c r="F131" s="24" t="str">
        <x:v>["钇", "Yttrium", "Y", "钇元素"]</x:v>
      </x:c>
      <x:c r="G131" s="25" t="b">
        <x:v>0</x:v>
      </x:c>
      <x:c r="H131" s="24" t="str">
        <x:v>2026-09-14</x:v>
      </x:c>
      <x:c r="I131" s="28" t="str">
        <x:v>https://www.reuters.com/business/energy/us-invests-critical-minerals-china-maintains-grip--reeii-2026-09-14/</x:v>
      </x:c>
      <x:c r="J131" s="24" t="str">
        <x:v>主题相关性；不证明逐实体出现</x:v>
      </x:c>
      <x:c r="K131" s="24" t="str">
        <x:v>—</x:v>
      </x:c>
    </x:row>
    <x:row r="132" ht="29" customHeight="1">
      <x:c r="A132" s="24" t="str">
        <x:v>镓</x:v>
      </x:c>
      <x:c r="B132" s="24" t="str">
        <x:v>commodity</x:v>
      </x:c>
      <x:c r="C132" s="24" t="str">
        <x:v>稀土与关键矿产</x:v>
      </x:c>
      <x:c r="D132" s="24" t="str">
        <x:v>critical_minerals_supply</x:v>
      </x:c>
      <x:c r="E132" s="50" t="str">
        <x:v>化合物半导体及射频器件相关元素。</x:v>
      </x:c>
      <x:c r="F132" s="24" t="str">
        <x:v>["镓", "Gallium", "Ga", "镓元素"]</x:v>
      </x:c>
      <x:c r="G132" s="25" t="b">
        <x:v>0</x:v>
      </x:c>
      <x:c r="H132" s="24" t="str">
        <x:v>2026-09-14</x:v>
      </x:c>
      <x:c r="I132" s="28" t="str">
        <x:v>https://www.reuters.com/business/energy/us-invests-critical-minerals-china-maintains-grip--reeii-2026-09-14/</x:v>
      </x:c>
      <x:c r="J132" s="24" t="str">
        <x:v>主题相关性；不证明逐实体出现</x:v>
      </x:c>
      <x:c r="K132" s="24" t="str">
        <x:v>—</x:v>
      </x:c>
    </x:row>
    <x:row r="133" ht="29" customHeight="1">
      <x:c r="A133" s="24" t="str">
        <x:v>锗</x:v>
      </x:c>
      <x:c r="B133" s="24" t="str">
        <x:v>commodity</x:v>
      </x:c>
      <x:c r="C133" s="24" t="str">
        <x:v>稀土与关键矿产</x:v>
      </x:c>
      <x:c r="D133" s="24" t="str">
        <x:v>critical_minerals_supply</x:v>
      </x:c>
      <x:c r="E133" s="50" t="str">
        <x:v>光电、红外及半导体相关关键元素。</x:v>
      </x:c>
      <x:c r="F133" s="24" t="str">
        <x:v>["锗", "Germanium", "Ge", "锗元素"]</x:v>
      </x:c>
      <x:c r="G133" s="25" t="b">
        <x:v>0</x:v>
      </x:c>
      <x:c r="H133" s="24" t="str">
        <x:v>2026-09-14</x:v>
      </x:c>
      <x:c r="I133" s="28" t="str">
        <x:v>https://www.reuters.com/business/energy/us-invests-critical-minerals-china-maintains-grip--reeii-2026-09-14/</x:v>
      </x:c>
      <x:c r="J133" s="24" t="str">
        <x:v>主题相关性；不证明逐实体出现</x:v>
      </x:c>
      <x:c r="K133" s="24" t="str">
        <x:v>—</x:v>
      </x:c>
    </x:row>
    <x:row r="134" ht="29" customHeight="1">
      <x:c r="A134" s="24" t="str">
        <x:v>石墨</x:v>
      </x:c>
      <x:c r="B134" s="24" t="str">
        <x:v>commodity</x:v>
      </x:c>
      <x:c r="C134" s="24" t="str">
        <x:v>稀土与关键矿产</x:v>
      </x:c>
      <x:c r="D134" s="24" t="str">
        <x:v>critical_minerals_supply</x:v>
      </x:c>
      <x:c r="E134" s="50" t="str">
        <x:v>电池负极与工业材料重要原料。</x:v>
      </x:c>
      <x:c r="F134" s="24" t="str">
        <x:v>["石墨", "Graphite", "天然石墨"]</x:v>
      </x:c>
      <x:c r="G134" s="25" t="b">
        <x:v>0</x:v>
      </x:c>
      <x:c r="H134" s="24" t="str">
        <x:v>2026-09-14</x:v>
      </x:c>
      <x:c r="I134" s="28" t="str">
        <x:v>https://www.reuters.com/business/energy/us-invests-critical-minerals-china-maintains-grip--reeii-2026-09-14/</x:v>
      </x:c>
      <x:c r="J134" s="24" t="str">
        <x:v>主题相关性；不证明逐实体出现</x:v>
      </x:c>
      <x:c r="K134" s="24" t="str">
        <x:v>—</x:v>
      </x:c>
    </x:row>
    <x:row r="135" ht="29" customHeight="1">
      <x:c r="A135" s="24" t="str">
        <x:v>钴</x:v>
      </x:c>
      <x:c r="B135" s="24" t="str">
        <x:v>commodity</x:v>
      </x:c>
      <x:c r="C135" s="24" t="str">
        <x:v>稀土与关键矿产</x:v>
      </x:c>
      <x:c r="D135" s="24" t="str">
        <x:v>critical_minerals_supply</x:v>
      </x:c>
      <x:c r="E135" s="50" t="str">
        <x:v>电池、合金等产业相关矿产。</x:v>
      </x:c>
      <x:c r="F135" s="24" t="str">
        <x:v>["钴", "Cobalt", "Co", "钴金属"]</x:v>
      </x:c>
      <x:c r="G135" s="25" t="b">
        <x:v>0</x:v>
      </x:c>
      <x:c r="H135" s="24" t="str">
        <x:v>2026-09-14</x:v>
      </x:c>
      <x:c r="I135" s="28" t="str">
        <x:v>https://www.reuters.com/business/energy/us-invests-critical-minerals-china-maintains-grip--reeii-2026-09-14/</x:v>
      </x:c>
      <x:c r="J135" s="24" t="str">
        <x:v>主题相关性；不证明逐实体出现</x:v>
      </x:c>
      <x:c r="K135" s="24" t="str">
        <x:v>—</x:v>
      </x:c>
    </x:row>
    <x:row r="136" ht="29" customHeight="1">
      <x:c r="A136" s="24" t="str">
        <x:v>锂</x:v>
      </x:c>
      <x:c r="B136" s="24" t="str">
        <x:v>commodity</x:v>
      </x:c>
      <x:c r="C136" s="24" t="str">
        <x:v>稀土与关键矿产</x:v>
      </x:c>
      <x:c r="D136" s="24" t="str">
        <x:v>critical_minerals_supply</x:v>
      </x:c>
      <x:c r="E136" s="50" t="str">
        <x:v>电池材料与储能产业核心原料。</x:v>
      </x:c>
      <x:c r="F136" s="24" t="str">
        <x:v>["锂", "Lithium", "Li", "锂金属"]</x:v>
      </x:c>
      <x:c r="G136" s="25" t="b">
        <x:v>0</x:v>
      </x:c>
      <x:c r="H136" s="24" t="str">
        <x:v>2026-09-14</x:v>
      </x:c>
      <x:c r="I136" s="28" t="str">
        <x:v>https://www.reuters.com/business/energy/us-invests-critical-minerals-china-maintains-grip--reeii-2026-09-14/</x:v>
      </x:c>
      <x:c r="J136" s="24" t="str">
        <x:v>主题相关性；不证明逐实体出现</x:v>
      </x:c>
      <x:c r="K136" s="24" t="str">
        <x:v>—</x:v>
      </x:c>
    </x:row>
    <x:row r="137" ht="29" customHeight="1">
      <x:c r="A137" s="24" t="str">
        <x:v>MPMaterials</x:v>
      </x:c>
      <x:c r="B137" s="24" t="str">
        <x:v>org</x:v>
      </x:c>
      <x:c r="C137" s="24" t="str">
        <x:v>稀土与关键矿产</x:v>
      </x:c>
      <x:c r="D137" s="24" t="str">
        <x:v>critical_minerals_supply</x:v>
      </x:c>
      <x:c r="E137" s="50" t="str">
        <x:v>美国稀土采选及材料企业。</x:v>
      </x:c>
      <x:c r="F137" s="24" t="str">
        <x:v>["MPMaterials", "MP Materials", "MP", "MP Materials Corp"]</x:v>
      </x:c>
      <x:c r="G137" s="25" t="b">
        <x:v>0</x:v>
      </x:c>
      <x:c r="H137" s="24" t="str">
        <x:v>2026-09-14</x:v>
      </x:c>
      <x:c r="I137" s="28" t="str">
        <x:v>https://www.reuters.com/business/energy/us-invests-critical-minerals-china-maintains-grip--reeii-2026-09-14/</x:v>
      </x:c>
      <x:c r="J137" s="24" t="str">
        <x:v>主题相关性；不证明逐实体出现</x:v>
      </x:c>
      <x:c r="K137" s="24" t="str">
        <x:v>原名：MP Materials</x:v>
      </x:c>
    </x:row>
    <x:row r="138" ht="29" customHeight="1">
      <x:c r="A138" s="24" t="str">
        <x:v>莱纳斯稀土</x:v>
      </x:c>
      <x:c r="B138" s="24" t="str">
        <x:v>org</x:v>
      </x:c>
      <x:c r="C138" s="24" t="str">
        <x:v>稀土与关键矿产</x:v>
      </x:c>
      <x:c r="D138" s="24" t="str">
        <x:v>critical_minerals_supply</x:v>
      </x:c>
      <x:c r="E138" s="50" t="str">
        <x:v>澳大利亚稀土企业，稀土多元化供应相关。</x:v>
      </x:c>
      <x:c r="F138" s="24" t="str">
        <x:v>["莱纳斯稀土", "Lynas Rare Earths", "Lynas", "莱纳斯"]</x:v>
      </x:c>
      <x:c r="G138" s="25" t="b">
        <x:v>0</x:v>
      </x:c>
      <x:c r="H138" s="24" t="str">
        <x:v>2026-09-14</x:v>
      </x:c>
      <x:c r="I138" s="28" t="str">
        <x:v>https://www.reuters.com/business/energy/us-invests-critical-minerals-china-maintains-grip--reeii-2026-09-14/</x:v>
      </x:c>
      <x:c r="J138" s="24" t="str">
        <x:v>主题相关性；不证明逐实体出现</x:v>
      </x:c>
      <x:c r="K138" s="24" t="str">
        <x:v>—</x:v>
      </x:c>
    </x:row>
    <x:row r="139" ht="29" customHeight="1">
      <x:c r="A139" s="24" t="str">
        <x:v>美国能源部</x:v>
      </x:c>
      <x:c r="B139" s="24" t="str">
        <x:v>org</x:v>
      </x:c>
      <x:c r="C139" s="24" t="str">
        <x:v>稀土与关键矿产</x:v>
      </x:c>
      <x:c r="D139" s="24" t="str">
        <x:v>critical_minerals_supply</x:v>
      </x:c>
      <x:c r="E139" s="50" t="str">
        <x:v>美国能源与关键矿产供应链政策机构。</x:v>
      </x:c>
      <x:c r="F139" s="24" t="str">
        <x:v>["美国能源部", "DOE", "U.S. Department of Energy"]</x:v>
      </x:c>
      <x:c r="G139" s="25" t="b">
        <x:v>0</x:v>
      </x:c>
      <x:c r="H139" s="24" t="str">
        <x:v>2026-09-14</x:v>
      </x:c>
      <x:c r="I139" s="28" t="str">
        <x:v>https://www.reuters.com/business/energy/us-invests-critical-minerals-china-maintains-grip--reeii-2026-09-14/</x:v>
      </x:c>
      <x:c r="J139" s="24" t="str">
        <x:v>主题相关性；不证明逐实体出现</x:v>
      </x:c>
      <x:c r="K139" s="24" t="str">
        <x:v>—</x:v>
      </x:c>
    </x:row>
    <x:row r="140" ht="29" customHeight="1">
      <x:c r="A140" s="24" t="str">
        <x:v>国际能源署</x:v>
      </x:c>
      <x:c r="B140" s="24" t="str">
        <x:v>org</x:v>
      </x:c>
      <x:c r="C140" s="24" t="str">
        <x:v>稀土与关键矿产</x:v>
      </x:c>
      <x:c r="D140" s="24" t="str">
        <x:v>critical_minerals_supply</x:v>
      </x:c>
      <x:c r="E140" s="50" t="str">
        <x:v>发布国际能源与关键矿产分析的政府间机构。</x:v>
      </x:c>
      <x:c r="F140" s="24" t="str">
        <x:v>["国际能源署", "IEA", "International Energy Agency", "国际能源机构"]</x:v>
      </x:c>
      <x:c r="G140" s="25" t="b">
        <x:v>0</x:v>
      </x:c>
      <x:c r="H140" s="24" t="str">
        <x:v>2026-09-14</x:v>
      </x:c>
      <x:c r="I140" s="28" t="str">
        <x:v>https://www.reuters.com/business/energy/us-invests-critical-minerals-china-maintains-grip--reeii-2026-09-14/</x:v>
      </x:c>
      <x:c r="J140" s="24" t="str">
        <x:v>主题相关性；不证明逐实体出现</x:v>
      </x:c>
      <x:c r="K140" s="24" t="str">
        <x:v>—</x:v>
      </x:c>
    </x:row>
    <x:row r="141" ht="29" customHeight="1">
      <x:c r="A141" s="24" t="str">
        <x:v>台积电</x:v>
      </x:c>
      <x:c r="B141" s="24" t="str">
        <x:v>org</x:v>
      </x:c>
      <x:c r="C141" s="24" t="str">
        <x:v>AI芯片及先进封装</x:v>
      </x:c>
      <x:c r="D141" s="24" t="str">
        <x:v>semiconductor_capacity</x:v>
      </x:c>
      <x:c r="E141" s="50" t="str">
        <x:v>全球晶圆代工龙头，先进制程及封装供给主体。</x:v>
      </x:c>
      <x:c r="F141" s="24" t="str">
        <x:v>["台积电", "TSMC", "Taiwan Semiconductor Manufacturing Company", "台湾积体电路制造"]</x:v>
      </x:c>
      <x:c r="G141" s="25" t="b">
        <x:v>0</x:v>
      </x:c>
      <x:c r="H141" s="24" t="str">
        <x:v>2026-10-12</x:v>
      </x:c>
      <x:c r="I141" s="28" t="str">
        <x:v>https://www.reuters.com/world/china/tsmc-expected-report-sixth-straight-quarter-record-profit-thanks-ai-boom-2026-10-12/</x:v>
      </x:c>
      <x:c r="J141" s="24" t="str">
        <x:v>主题相关性；不证明逐实体出现</x:v>
      </x:c>
      <x:c r="K141" s="24" t="str">
        <x:v>—</x:v>
      </x:c>
    </x:row>
    <x:row r="142" ht="29" customHeight="1">
      <x:c r="A142" s="24" t="str">
        <x:v>英伟达</x:v>
      </x:c>
      <x:c r="B142" s="24" t="str">
        <x:v>org</x:v>
      </x:c>
      <x:c r="C142" s="24" t="str">
        <x:v>AI芯片及先进封装</x:v>
      </x:c>
      <x:c r="D142" s="24" t="str">
        <x:v>semiconductor_capacity</x:v>
      </x:c>
      <x:c r="E142" s="50" t="str">
        <x:v>AI加速芯片与平台企业，涉及全球算力投资。</x:v>
      </x:c>
      <x:c r="F142" s="24" t="str">
        <x:v>["英伟达", "NVIDIA", "Nvidia", "辉达"]</x:v>
      </x:c>
      <x:c r="G142" s="25" t="b">
        <x:v>0</x:v>
      </x:c>
      <x:c r="H142" s="24" t="str">
        <x:v>2026-10-12</x:v>
      </x:c>
      <x:c r="I142" s="28" t="str">
        <x:v>https://www.reuters.com/world/china/tsmc-expected-report-sixth-straight-quarter-record-profit-thanks-ai-boom-2026-10-12/</x:v>
      </x:c>
      <x:c r="J142" s="24" t="str">
        <x:v>主题相关性；不证明逐实体出现</x:v>
      </x:c>
      <x:c r="K142" s="24" t="str">
        <x:v>—</x:v>
      </x:c>
    </x:row>
    <x:row r="143" ht="29" customHeight="1">
      <x:c r="A143" s="24" t="str">
        <x:v>超威半导体</x:v>
      </x:c>
      <x:c r="B143" s="24" t="str">
        <x:v>org</x:v>
      </x:c>
      <x:c r="C143" s="24" t="str">
        <x:v>AI芯片及先进封装</x:v>
      </x:c>
      <x:c r="D143" s="24" t="str">
        <x:v>semiconductor_capacity</x:v>
      </x:c>
      <x:c r="E143" s="50" t="str">
        <x:v>CPU与AI加速器企业。</x:v>
      </x:c>
      <x:c r="F143" s="24" t="str">
        <x:v>["超威半导体", "AMD", "Advanced Micro Devices", "超威"]</x:v>
      </x:c>
      <x:c r="G143" s="25" t="b">
        <x:v>0</x:v>
      </x:c>
      <x:c r="H143" s="24" t="str">
        <x:v>2026-10-12</x:v>
      </x:c>
      <x:c r="I143" s="28" t="str">
        <x:v>https://www.reuters.com/world/china/tsmc-expected-report-sixth-straight-quarter-record-profit-thanks-ai-boom-2026-10-12/</x:v>
      </x:c>
      <x:c r="J143" s="24" t="str">
        <x:v>主题相关性；不证明逐实体出现</x:v>
      </x:c>
      <x:c r="K143" s="24" t="str">
        <x:v>—</x:v>
      </x:c>
    </x:row>
    <x:row r="144" ht="29" customHeight="1">
      <x:c r="A144" s="24" t="str">
        <x:v>博通</x:v>
      </x:c>
      <x:c r="B144" s="24" t="str">
        <x:v>org</x:v>
      </x:c>
      <x:c r="C144" s="24" t="str">
        <x:v>AI芯片及先进封装</x:v>
      </x:c>
      <x:c r="D144" s="24" t="str">
        <x:v>semiconductor_capacity</x:v>
      </x:c>
      <x:c r="E144" s="50" t="str">
        <x:v>半导体及基础设施软件企业，涉及定制AI芯片。</x:v>
      </x:c>
      <x:c r="F144" s="24" t="str">
        <x:v>["博通", "Broadcom", "Broadcom Inc.", "AVGO"]</x:v>
      </x:c>
      <x:c r="G144" s="25" t="b">
        <x:v>0</x:v>
      </x:c>
      <x:c r="H144" s="24" t="str">
        <x:v>2026-10-12</x:v>
      </x:c>
      <x:c r="I144" s="28" t="str">
        <x:v>https://www.reuters.com/world/china/tsmc-expected-report-sixth-straight-quarter-record-profit-thanks-ai-boom-2026-10-12/</x:v>
      </x:c>
      <x:c r="J144" s="24" t="str">
        <x:v>主题相关性；不证明逐实体出现</x:v>
      </x:c>
      <x:c r="K144" s="24" t="str">
        <x:v>—</x:v>
      </x:c>
    </x:row>
    <x:row r="145" ht="29" customHeight="1">
      <x:c r="A145" s="24" t="str">
        <x:v>美光科技</x:v>
      </x:c>
      <x:c r="B145" s="24" t="str">
        <x:v>org</x:v>
      </x:c>
      <x:c r="C145" s="24" t="str">
        <x:v>AI芯片及先进封装</x:v>
      </x:c>
      <x:c r="D145" s="24" t="str">
        <x:v>semiconductor_capacity</x:v>
      </x:c>
      <x:c r="E145" s="50" t="str">
        <x:v>存储芯片企业，涉及HBM及DRAM供给。</x:v>
      </x:c>
      <x:c r="F145" s="24" t="str">
        <x:v>["美光科技", "Micron", "Micron Technology", "美光"]</x:v>
      </x:c>
      <x:c r="G145" s="25" t="b">
        <x:v>0</x:v>
      </x:c>
      <x:c r="H145" s="24" t="str">
        <x:v>2026-10-12</x:v>
      </x:c>
      <x:c r="I145" s="28" t="str">
        <x:v>https://www.reuters.com/world/china/tsmc-expected-report-sixth-straight-quarter-record-profit-thanks-ai-boom-2026-10-12/</x:v>
      </x:c>
      <x:c r="J145" s="24" t="str">
        <x:v>主题相关性；不证明逐实体出现</x:v>
      </x:c>
      <x:c r="K145" s="24" t="str">
        <x:v>—</x:v>
      </x:c>
    </x:row>
    <x:row r="146" ht="29" customHeight="1">
      <x:c r="A146" s="24" t="str">
        <x:v>三星电子</x:v>
      </x:c>
      <x:c r="B146" s="24" t="str">
        <x:v>org</x:v>
      </x:c>
      <x:c r="C146" s="24" t="str">
        <x:v>AI芯片及先进封装</x:v>
      </x:c>
      <x:c r="D146" s="24" t="str">
        <x:v>semiconductor_capacity</x:v>
      </x:c>
      <x:c r="E146" s="50" t="str">
        <x:v>电子与半导体企业，涉及存储和晶圆制造。</x:v>
      </x:c>
      <x:c r="F146" s="24" t="str">
        <x:v>["三星电子", "Samsung Electronics", "三星"]</x:v>
      </x:c>
      <x:c r="G146" s="25" t="b">
        <x:v>0</x:v>
      </x:c>
      <x:c r="H146" s="24" t="str">
        <x:v>2026-10-12</x:v>
      </x:c>
      <x:c r="I146" s="28" t="str">
        <x:v>https://www.reuters.com/world/china/tsmc-expected-report-sixth-straight-quarter-record-profit-thanks-ai-boom-2026-10-12/</x:v>
      </x:c>
      <x:c r="J146" s="24" t="str">
        <x:v>主题相关性；不证明逐实体出现</x:v>
      </x:c>
      <x:c r="K146" s="24" t="str">
        <x:v>—</x:v>
      </x:c>
    </x:row>
    <x:row r="147" ht="29" customHeight="1">
      <x:c r="A147" s="24" t="str">
        <x:v>SK海力士</x:v>
      </x:c>
      <x:c r="B147" s="24" t="str">
        <x:v>org</x:v>
      </x:c>
      <x:c r="C147" s="24" t="str">
        <x:v>AI芯片及先进封装</x:v>
      </x:c>
      <x:c r="D147" s="24" t="str">
        <x:v>semiconductor_capacity</x:v>
      </x:c>
      <x:c r="E147" s="50" t="str">
        <x:v>高带宽内存供应商，AI存储链关键主体。</x:v>
      </x:c>
      <x:c r="F147" s="24" t="str">
        <x:v>["SK海力士", "SK Hynix", "海力士"]</x:v>
      </x:c>
      <x:c r="G147" s="25" t="b">
        <x:v>0</x:v>
      </x:c>
      <x:c r="H147" s="24" t="str">
        <x:v>2026-10-12</x:v>
      </x:c>
      <x:c r="I147" s="28" t="str">
        <x:v>https://www.reuters.com/world/china/tsmc-expected-report-sixth-straight-quarter-record-profit-thanks-ai-boom-2026-10-12/</x:v>
      </x:c>
      <x:c r="J147" s="24" t="str">
        <x:v>主题相关性；不证明逐实体出现</x:v>
      </x:c>
      <x:c r="K147" s="24" t="str">
        <x:v>—</x:v>
      </x:c>
    </x:row>
    <x:row r="148" ht="29" customHeight="1">
      <x:c r="A148" s="24" t="str">
        <x:v>阿斯麦</x:v>
      </x:c>
      <x:c r="B148" s="24" t="str">
        <x:v>org</x:v>
      </x:c>
      <x:c r="C148" s="24" t="str">
        <x:v>AI芯片及先进封装</x:v>
      </x:c>
      <x:c r="D148" s="24" t="str">
        <x:v>semiconductor_capacity</x:v>
      </x:c>
      <x:c r="E148" s="50" t="str">
        <x:v>光刻设备供应商，先进制程扩产相关。</x:v>
      </x:c>
      <x:c r="F148" s="24" t="str">
        <x:v>["阿斯麦", "ASML", "ASML Holding"]</x:v>
      </x:c>
      <x:c r="G148" s="25" t="b">
        <x:v>0</x:v>
      </x:c>
      <x:c r="H148" s="24" t="str">
        <x:v>2026-10-12</x:v>
      </x:c>
      <x:c r="I148" s="28" t="str">
        <x:v>https://www.reuters.com/world/china/tsmc-expected-report-sixth-straight-quarter-record-profit-thanks-ai-boom-2026-10-12/</x:v>
      </x:c>
      <x:c r="J148" s="24" t="str">
        <x:v>主题相关性；不证明逐实体出现</x:v>
      </x:c>
      <x:c r="K148" s="24" t="str">
        <x:v>—</x:v>
      </x:c>
    </x:row>
    <x:row r="149" ht="29" customHeight="1">
      <x:c r="A149" s="24" t="str">
        <x:v>应用材料</x:v>
      </x:c>
      <x:c r="B149" s="24" t="str">
        <x:v>org</x:v>
      </x:c>
      <x:c r="C149" s="24" t="str">
        <x:v>AI芯片及先进封装</x:v>
      </x:c>
      <x:c r="D149" s="24" t="str">
        <x:v>semiconductor_capacity</x:v>
      </x:c>
      <x:c r="E149" s="50" t="str">
        <x:v>半导体制造设备供应商。</x:v>
      </x:c>
      <x:c r="F149" s="24" t="str">
        <x:v>["应用材料", "Applied Materials", "AMAT"]</x:v>
      </x:c>
      <x:c r="G149" s="25" t="b">
        <x:v>0</x:v>
      </x:c>
      <x:c r="H149" s="24" t="str">
        <x:v>2026-10-12</x:v>
      </x:c>
      <x:c r="I149" s="28" t="str">
        <x:v>https://www.reuters.com/world/china/tsmc-expected-report-sixth-straight-quarter-record-profit-thanks-ai-boom-2026-10-12/</x:v>
      </x:c>
      <x:c r="J149" s="24" t="str">
        <x:v>主题相关性；不证明逐实体出现</x:v>
      </x:c>
      <x:c r="K149" s="24" t="str">
        <x:v>—</x:v>
      </x:c>
    </x:row>
    <x:row r="150" ht="29" customHeight="1">
      <x:c r="A150" s="24" t="str">
        <x:v>CoWoS先进封装</x:v>
      </x:c>
      <x:c r="B150" s="24" t="str">
        <x:v>concept</x:v>
      </x:c>
      <x:c r="C150" s="24" t="str">
        <x:v>AI芯片及先进封装</x:v>
      </x:c>
      <x:c r="D150" s="24" t="str">
        <x:v>semiconductor_capacity</x:v>
      </x:c>
      <x:c r="E150" s="50" t="str">
        <x:v>先进芯片封装技术，与AI计算供给瓶颈相关。</x:v>
      </x:c>
      <x:c r="F150" s="24" t="str">
        <x:v>["CoWoS先进封装", "CoWoS", "Chip-on-Wafer-on-Substrate"]</x:v>
      </x:c>
      <x:c r="G150" s="25" t="b">
        <x:v>0</x:v>
      </x:c>
      <x:c r="H150" s="24" t="str">
        <x:v>2026-10-12</x:v>
      </x:c>
      <x:c r="I150" s="28" t="str">
        <x:v>https://www.reuters.com/world/china/tsmc-expected-report-sixth-straight-quarter-record-profit-thanks-ai-boom-2026-10-12/</x:v>
      </x:c>
      <x:c r="J150" s="24" t="str">
        <x:v>主题相关性；不证明逐实体出现</x:v>
      </x:c>
      <x:c r="K150" s="24" t="str">
        <x:v>—</x:v>
      </x:c>
    </x:row>
    <x:row r="151" ht="29" customHeight="1">
      <x:c r="A151" s="24" t="str">
        <x:v>HBM高带宽内存</x:v>
      </x:c>
      <x:c r="B151" s="24" t="str">
        <x:v>commodity</x:v>
      </x:c>
      <x:c r="C151" s="24" t="str">
        <x:v>AI芯片及先进封装</x:v>
      </x:c>
      <x:c r="D151" s="24" t="str">
        <x:v>semiconductor_capacity</x:v>
      </x:c>
      <x:c r="E151" s="50" t="str">
        <x:v>AI计算芯片关键存储器品类。</x:v>
      </x:c>
      <x:c r="F151" s="24" t="str">
        <x:v>["HBM高带宽内存", "HBM", "High Bandwidth Memory", "高带宽存储器"]</x:v>
      </x:c>
      <x:c r="G151" s="25" t="b">
        <x:v>0</x:v>
      </x:c>
      <x:c r="H151" s="24" t="str">
        <x:v>2026-10-12</x:v>
      </x:c>
      <x:c r="I151" s="28" t="str">
        <x:v>https://www.reuters.com/world/china/tsmc-expected-report-sixth-straight-quarter-record-profit-thanks-ai-boom-2026-10-12/</x:v>
      </x:c>
      <x:c r="J151" s="24" t="str">
        <x:v>主题相关性；不证明逐实体出现</x:v>
      </x:c>
      <x:c r="K151" s="24" t="str">
        <x:v>—</x:v>
      </x:c>
    </x:row>
    <x:row r="152" ht="29" customHeight="1">
      <x:c r="A152" s="24" t="str">
        <x:v>先进制程晶圆</x:v>
      </x:c>
      <x:c r="B152" s="24" t="str">
        <x:v>commodity</x:v>
      </x:c>
      <x:c r="C152" s="24" t="str">
        <x:v>AI芯片及先进封装</x:v>
      </x:c>
      <x:c r="D152" s="24" t="str">
        <x:v>semiconductor_capacity</x:v>
      </x:c>
      <x:c r="E152" s="50" t="str">
        <x:v>2纳米及3纳米级先进逻辑芯片制造载体。</x:v>
      </x:c>
      <x:c r="F152" s="24" t="str">
        <x:v>["先进制程晶圆", "Advanced Logic Wafers", "先进逻辑晶圆"]</x:v>
      </x:c>
      <x:c r="G152" s="25" t="b">
        <x:v>0</x:v>
      </x:c>
      <x:c r="H152" s="24" t="str">
        <x:v>2026-10-12</x:v>
      </x:c>
      <x:c r="I152" s="28" t="str">
        <x:v>https://www.reuters.com/world/china/tsmc-expected-report-sixth-straight-quarter-record-profit-thanks-ai-boom-2026-10-12/</x:v>
      </x:c>
      <x:c r="J152" s="24" t="str">
        <x:v>主题相关性；不证明逐实体出现</x:v>
      </x:c>
      <x:c r="K152" s="24" t="str">
        <x:v>—</x:v>
      </x:c>
    </x:row>
    <x:row r="153" ht="29" customHeight="1">
      <x:c r="A153" s="24" t="str">
        <x:v>微软</x:v>
      </x:c>
      <x:c r="B153" s="24" t="str">
        <x:v>org</x:v>
      </x:c>
      <x:c r="C153" s="24" t="str">
        <x:v>AI资本开支与算力基础设施</x:v>
      </x:c>
      <x:c r="D153" s="24" t="str">
        <x:v>ai_capex_energy</x:v>
      </x:c>
      <x:c r="E153" s="50" t="str">
        <x:v>云计算及AI服务提供商，建设数据中心与自研芯片。</x:v>
      </x:c>
      <x:c r="F153" s="24" t="str">
        <x:v>["微软", "Microsoft", "Microsoft Corporation", "微软公司"]</x:v>
      </x:c>
      <x:c r="G153" s="25" t="b">
        <x:v>0</x:v>
      </x:c>
      <x:c r="H153" s="24" t="str">
        <x:v>2026-10-12</x:v>
      </x:c>
      <x:c r="I153" s="28" t="str">
        <x:v>https://www.reuters.com/business/microsoft-plans-huge-deployment-its-own-ai-chips-with-an-eye-saving-costs-2026-10-12/</x:v>
      </x:c>
      <x:c r="J153" s="24" t="str">
        <x:v>主题相关性；不证明逐实体出现</x:v>
      </x:c>
      <x:c r="K153" s="24" t="str">
        <x:v>—</x:v>
      </x:c>
    </x:row>
    <x:row r="154" ht="29" customHeight="1">
      <x:c r="A154" s="24" t="str">
        <x:v>谷歌母公司Alphabet</x:v>
      </x:c>
      <x:c r="B154" s="24" t="str">
        <x:v>org</x:v>
      </x:c>
      <x:c r="C154" s="24" t="str">
        <x:v>AI资本开支与算力基础设施</x:v>
      </x:c>
      <x:c r="D154" s="24" t="str">
        <x:v>ai_capex_energy</x:v>
      </x:c>
      <x:c r="E154" s="50" t="str">
        <x:v>谷歌母公司，云计算和AI资本开支主体。</x:v>
      </x:c>
      <x:c r="F154" s="24" t="str">
        <x:v>["谷歌母公司Alphabet", "Alphabet", "Google parent", "Alphabet Inc."]</x:v>
      </x:c>
      <x:c r="G154" s="25" t="b">
        <x:v>0</x:v>
      </x:c>
      <x:c r="H154" s="24" t="str">
        <x:v>2026-10-12</x:v>
      </x:c>
      <x:c r="I154" s="28" t="str">
        <x:v>https://www.reuters.com/business/microsoft-plans-huge-deployment-its-own-ai-chips-with-an-eye-saving-costs-2026-10-12/</x:v>
      </x:c>
      <x:c r="J154" s="24" t="str">
        <x:v>主题相关性；不证明逐实体出现</x:v>
      </x:c>
      <x:c r="K154" s="24" t="str">
        <x:v>—</x:v>
      </x:c>
    </x:row>
    <x:row r="155" ht="29" customHeight="1">
      <x:c r="A155" s="24" t="str">
        <x:v>谷歌</x:v>
      </x:c>
      <x:c r="B155" s="24" t="str">
        <x:v>org</x:v>
      </x:c>
      <x:c r="C155" s="24" t="str">
        <x:v>AI资本开支与算力基础设施</x:v>
      </x:c>
      <x:c r="D155" s="24" t="str">
        <x:v>ai_capex_energy</x:v>
      </x:c>
      <x:c r="E155" s="50" t="str">
        <x:v>搜索、云计算及AI产品服务企业。</x:v>
      </x:c>
      <x:c r="F155" s="24" t="str">
        <x:v>["谷歌", "Google", "Google LLC"]</x:v>
      </x:c>
      <x:c r="G155" s="25" t="b">
        <x:v>0</x:v>
      </x:c>
      <x:c r="H155" s="24" t="str">
        <x:v>2026-10-12</x:v>
      </x:c>
      <x:c r="I155" s="28" t="str">
        <x:v>https://www.reuters.com/business/microsoft-plans-huge-deployment-its-own-ai-chips-with-an-eye-saving-costs-2026-10-12/</x:v>
      </x:c>
      <x:c r="J155" s="24" t="str">
        <x:v>主题相关性；不证明逐实体出现</x:v>
      </x:c>
      <x:c r="K155" s="24" t="str">
        <x:v>—</x:v>
      </x:c>
    </x:row>
    <x:row r="156" ht="29" customHeight="1">
      <x:c r="A156" s="24" t="str">
        <x:v>亚马逊云科技</x:v>
      </x:c>
      <x:c r="B156" s="24" t="str">
        <x:v>org</x:v>
      </x:c>
      <x:c r="C156" s="24" t="str">
        <x:v>AI资本开支与算力基础设施</x:v>
      </x:c>
      <x:c r="D156" s="24" t="str">
        <x:v>ai_capex_energy</x:v>
      </x:c>
      <x:c r="E156" s="50" t="str">
        <x:v>云基础设施服务商，提供AI算力与芯片服务。</x:v>
      </x:c>
      <x:c r="F156" s="24" t="str">
        <x:v>["亚马逊云科技", "AWS", "Amazon Web Services", "亚马逊AWS"]</x:v>
      </x:c>
      <x:c r="G156" s="25" t="b">
        <x:v>0</x:v>
      </x:c>
      <x:c r="H156" s="24" t="str">
        <x:v>2026-10-12</x:v>
      </x:c>
      <x:c r="I156" s="28" t="str">
        <x:v>https://www.reuters.com/business/microsoft-plans-huge-deployment-its-own-ai-chips-with-an-eye-saving-costs-2026-10-12/</x:v>
      </x:c>
      <x:c r="J156" s="24" t="str">
        <x:v>主题相关性；不证明逐实体出现</x:v>
      </x:c>
      <x:c r="K156" s="24" t="str">
        <x:v>—</x:v>
      </x:c>
    </x:row>
    <x:row r="157" ht="29" customHeight="1">
      <x:c r="A157" s="24" t="str">
        <x:v>甲骨文</x:v>
      </x:c>
      <x:c r="B157" s="24" t="str">
        <x:v>org</x:v>
      </x:c>
      <x:c r="C157" s="24" t="str">
        <x:v>AI资本开支与算力基础设施</x:v>
      </x:c>
      <x:c r="D157" s="24" t="str">
        <x:v>ai_capex_energy</x:v>
      </x:c>
      <x:c r="E157" s="50" t="str">
        <x:v>云数据库与数据中心供应商，参与AI基础设施投资。</x:v>
      </x:c>
      <x:c r="F157" s="24" t="str">
        <x:v>["甲骨文", "Oracle", "Oracle Corporation", "甲骨文公司"]</x:v>
      </x:c>
      <x:c r="G157" s="25" t="b">
        <x:v>0</x:v>
      </x:c>
      <x:c r="H157" s="24" t="str">
        <x:v>2026-10-12</x:v>
      </x:c>
      <x:c r="I157" s="28" t="str">
        <x:v>https://www.reuters.com/business/microsoft-plans-huge-deployment-its-own-ai-chips-with-an-eye-saving-costs-2026-10-12/</x:v>
      </x:c>
      <x:c r="J157" s="24" t="str">
        <x:v>主题相关性；不证明逐实体出现</x:v>
      </x:c>
      <x:c r="K157" s="24" t="str">
        <x:v>—</x:v>
      </x:c>
    </x:row>
    <x:row r="158" ht="29" customHeight="1">
      <x:c r="A158" s="24" t="str">
        <x:v>MetaPlatforms</x:v>
      </x:c>
      <x:c r="B158" s="24" t="str">
        <x:v>org</x:v>
      </x:c>
      <x:c r="C158" s="24" t="str">
        <x:v>AI资本开支与算力基础设施</x:v>
      </x:c>
      <x:c r="D158" s="24" t="str">
        <x:v>ai_capex_energy</x:v>
      </x:c>
      <x:c r="E158" s="50" t="str">
        <x:v>社交及AI基础设施企业，参与大规模算力建设。</x:v>
      </x:c>
      <x:c r="F158" s="24" t="str">
        <x:v>["MetaPlatforms", "Meta Platforms", "Meta", "Meta Platforms Inc.", "Meta公司"]</x:v>
      </x:c>
      <x:c r="G158" s="25" t="b">
        <x:v>0</x:v>
      </x:c>
      <x:c r="H158" s="24" t="str">
        <x:v>2026-10-12</x:v>
      </x:c>
      <x:c r="I158" s="28" t="str">
        <x:v>https://www.reuters.com/business/microsoft-plans-huge-deployment-its-own-ai-chips-with-an-eye-saving-costs-2026-10-12/</x:v>
      </x:c>
      <x:c r="J158" s="24" t="str">
        <x:v>主题相关性；不证明逐实体出现</x:v>
      </x:c>
      <x:c r="K158" s="24" t="str">
        <x:v>原名：Meta Platforms</x:v>
      </x:c>
    </x:row>
    <x:row r="159" ht="29" customHeight="1">
      <x:c r="A159" s="24" t="str">
        <x:v>OpenAI</x:v>
      </x:c>
      <x:c r="B159" s="24" t="str">
        <x:v>org</x:v>
      </x:c>
      <x:c r="C159" s="24" t="str">
        <x:v>AI资本开支与算力基础设施</x:v>
      </x:c>
      <x:c r="D159" s="24" t="str">
        <x:v>ai_capex_energy</x:v>
      </x:c>
      <x:c r="E159" s="50" t="str">
        <x:v>AI研究与产品企业，参与模型开发及计算基础设施投资。</x:v>
      </x:c>
      <x:c r="F159" s="24" t="str">
        <x:v>["OpenAI", "OpenAI Inc.", "开放人工智能公司"]</x:v>
      </x:c>
      <x:c r="G159" s="25" t="b">
        <x:v>0</x:v>
      </x:c>
      <x:c r="H159" s="24" t="str">
        <x:v>2026-10-12</x:v>
      </x:c>
      <x:c r="I159" s="28" t="str">
        <x:v>https://www.reuters.com/business/microsoft-plans-huge-deployment-its-own-ai-chips-with-an-eye-saving-costs-2026-10-12/</x:v>
      </x:c>
      <x:c r="J159" s="24" t="str">
        <x:v>主题相关性；不证明逐实体出现</x:v>
      </x:c>
      <x:c r="K159" s="24" t="str">
        <x:v>—</x:v>
      </x:c>
    </x:row>
    <x:row r="160" ht="29" customHeight="1">
      <x:c r="A160" s="24" t="str">
        <x:v>Anthropic</x:v>
      </x:c>
      <x:c r="B160" s="24" t="str">
        <x:v>org</x:v>
      </x:c>
      <x:c r="C160" s="24" t="str">
        <x:v>AI资本开支与算力基础设施</x:v>
      </x:c>
      <x:c r="D160" s="24" t="str">
        <x:v>ai_capex_energy</x:v>
      </x:c>
      <x:c r="E160" s="50" t="str">
        <x:v>AI模型与产品企业，对算力资源需求较高。</x:v>
      </x:c>
      <x:c r="F160" s="24" t="str">
        <x:v>["Anthropic", "Anthropic PBC", "安思智", "Anthropic公司"]</x:v>
      </x:c>
      <x:c r="G160" s="25" t="b">
        <x:v>0</x:v>
      </x:c>
      <x:c r="H160" s="24" t="str">
        <x:v>2026-10-12</x:v>
      </x:c>
      <x:c r="I160" s="28" t="str">
        <x:v>https://www.reuters.com/business/microsoft-plans-huge-deployment-its-own-ai-chips-with-an-eye-saving-costs-2026-10-12/</x:v>
      </x:c>
      <x:c r="J160" s="24" t="str">
        <x:v>主题相关性；不证明逐实体出现</x:v>
      </x:c>
      <x:c r="K160" s="24" t="str">
        <x:v>—</x:v>
      </x:c>
    </x:row>
    <x:row r="161" ht="29" customHeight="1">
      <x:c r="A161" s="24" t="str">
        <x:v>Maia300</x:v>
      </x:c>
      <x:c r="B161" s="24" t="str">
        <x:v>asset</x:v>
      </x:c>
      <x:c r="C161" s="24" t="str">
        <x:v>AI资本开支与算力基础设施</x:v>
      </x:c>
      <x:c r="D161" s="24" t="str">
        <x:v>ai_capex_energy</x:v>
      </x:c>
      <x:c r="E161" s="50" t="str">
        <x:v>微软自研AI加速芯片系列的2026年发布型号。</x:v>
      </x:c>
      <x:c r="F161" s="24" t="str">
        <x:v>["Maia300", "Maia 300", "Microsoft Maia 300", "微软Maia 300"]</x:v>
      </x:c>
      <x:c r="G161" s="25" t="b">
        <x:v>0</x:v>
      </x:c>
      <x:c r="H161" s="24" t="str">
        <x:v>2026-10-12</x:v>
      </x:c>
      <x:c r="I161" s="28" t="str">
        <x:v>https://www.reuters.com/business/microsoft-plans-huge-deployment-its-own-ai-chips-with-an-eye-saving-costs-2026-10-12/</x:v>
      </x:c>
      <x:c r="J161" s="24" t="str">
        <x:v>主题相关性；不证明逐实体出现</x:v>
      </x:c>
      <x:c r="K161" s="24" t="str">
        <x:v>原名：Maia 300</x:v>
      </x:c>
    </x:row>
    <x:row r="162" ht="29" customHeight="1">
      <x:c r="A162" s="24" t="str">
        <x:v>AI数据中心</x:v>
      </x:c>
      <x:c r="B162" s="24" t="str">
        <x:v>asset</x:v>
      </x:c>
      <x:c r="C162" s="24" t="str">
        <x:v>AI资本开支与算力基础设施</x:v>
      </x:c>
      <x:c r="D162" s="24" t="str">
        <x:v>ai_capex_energy</x:v>
      </x:c>
      <x:c r="E162" s="50" t="str">
        <x:v>用于AI训练和推理的计算设施，关联电力与融资链。</x:v>
      </x:c>
      <x:c r="F162" s="24" t="str">
        <x:v>["AI数据中心", "AI Data Centers", "AI算力中心"]</x:v>
      </x:c>
      <x:c r="G162" s="25" t="b">
        <x:v>0</x:v>
      </x:c>
      <x:c r="H162" s="24" t="str">
        <x:v>2026-10-12</x:v>
      </x:c>
      <x:c r="I162" s="28" t="str">
        <x:v>https://www.reuters.com/business/microsoft-plans-huge-deployment-its-own-ai-chips-with-an-eye-saving-costs-2026-10-12/</x:v>
      </x:c>
      <x:c r="J162" s="24" t="str">
        <x:v>主题相关性；不证明逐实体出现</x:v>
      </x:c>
      <x:c r="K162" s="24" t="str">
        <x:v>—</x:v>
      </x:c>
    </x:row>
    <x:row r="163" ht="29" customHeight="1">
      <x:c r="A163" s="24" t="str">
        <x:v>StargateAI基础设施项目</x:v>
      </x:c>
      <x:c r="B163" s="24" t="str">
        <x:v>asset</x:v>
      </x:c>
      <x:c r="C163" s="24" t="str">
        <x:v>AI项目及数据中心融资</x:v>
      </x:c>
      <x:c r="D163" s="24" t="str">
        <x:v>datacenter_financing</x:v>
      </x:c>
      <x:c r="E163" s="50" t="str">
        <x:v>OpenAI与合作方的美国AI基础设施建设计划。</x:v>
      </x:c>
      <x:c r="F163" s="24" t="str">
        <x:v>["StargateAI基础设施项目", "Stargate AI基础设施项目", "Stargate", "星际之门计划", "Stargate Project"]</x:v>
      </x:c>
      <x:c r="G163" s="25" t="b">
        <x:v>0</x:v>
      </x:c>
      <x:c r="H163" s="24" t="str">
        <x:v>2025-10-30</x:v>
      </x:c>
      <x:c r="I163" s="28" t="str">
        <x:v>https://www.reuters.com/technology/openai-oracle-related-digital-announce-new-stargate-data-center-michigan-2025-10-30/</x:v>
      </x:c>
      <x:c r="J163" s="24" t="str">
        <x:v>主题相关性；不证明逐实体出现</x:v>
      </x:c>
      <x:c r="K163" s="24" t="str">
        <x:v>原名：Stargate AI基础设施项目</x:v>
      </x:c>
    </x:row>
    <x:row r="164" ht="29" customHeight="1">
      <x:c r="A164" s="24" t="str">
        <x:v>RelatedDigital</x:v>
      </x:c>
      <x:c r="B164" s="24" t="str">
        <x:v>org</x:v>
      </x:c>
      <x:c r="C164" s="24" t="str">
        <x:v>AI项目及数据中心融资</x:v>
      </x:c>
      <x:c r="D164" s="24" t="str">
        <x:v>datacenter_financing</x:v>
      </x:c>
      <x:c r="E164" s="50" t="str">
        <x:v>数据中心开发企业，参与美国AI基础设施项目。</x:v>
      </x:c>
      <x:c r="F164" s="24" t="str">
        <x:v>["RelatedDigital", "Related Digital", "Related Companies Digital"]</x:v>
      </x:c>
      <x:c r="G164" s="25" t="b">
        <x:v>0</x:v>
      </x:c>
      <x:c r="H164" s="24" t="str">
        <x:v>2025-10-30</x:v>
      </x:c>
      <x:c r="I164" s="28" t="str">
        <x:v>https://www.reuters.com/technology/openai-oracle-related-digital-announce-new-stargate-data-center-michigan-2025-10-30/</x:v>
      </x:c>
      <x:c r="J164" s="24" t="str">
        <x:v>主题相关性；不证明逐实体出现</x:v>
      </x:c>
      <x:c r="K164" s="24" t="str">
        <x:v>原名：Related Digital</x:v>
      </x:c>
    </x:row>
    <x:row r="165" ht="29" customHeight="1">
      <x:c r="A165" s="24" t="str">
        <x:v>软银</x:v>
      </x:c>
      <x:c r="B165" s="24" t="str">
        <x:v>org</x:v>
      </x:c>
      <x:c r="C165" s="24" t="str">
        <x:v>AI项目及数据中心融资</x:v>
      </x:c>
      <x:c r="D165" s="24" t="str">
        <x:v>datacenter_financing</x:v>
      </x:c>
      <x:c r="E165" s="50" t="str">
        <x:v>日本投资集团，涉AI基础设施融资及产业投资。</x:v>
      </x:c>
      <x:c r="F165" s="24" t="str">
        <x:v>["软银", "软银集团", "SoftBank Group", "SoftBank"]</x:v>
      </x:c>
      <x:c r="G165" s="25" t="b">
        <x:v>0</x:v>
      </x:c>
      <x:c r="H165" s="24" t="str">
        <x:v>2025-10-30</x:v>
      </x:c>
      <x:c r="I165" s="28" t="str">
        <x:v>https://www.reuters.com/technology/openai-oracle-related-digital-announce-new-stargate-data-center-michigan-2025-10-30/</x:v>
      </x:c>
      <x:c r="J165" s="24" t="str">
        <x:v>主题相关性；不证明逐实体出现</x:v>
      </x:c>
      <x:c r="K165" s="24" t="str">
        <x:v>原名：软银集团</x:v>
      </x:c>
    </x:row>
    <x:row r="166" ht="29" customHeight="1">
      <x:c r="A166" s="24" t="str">
        <x:v>CoreWeave</x:v>
      </x:c>
      <x:c r="B166" s="24" t="str">
        <x:v>org</x:v>
      </x:c>
      <x:c r="C166" s="24" t="str">
        <x:v>AI项目及数据中心融资</x:v>
      </x:c>
      <x:c r="D166" s="24" t="str">
        <x:v>datacenter_financing</x:v>
      </x:c>
      <x:c r="E166" s="50" t="str">
        <x:v>AI计算云基础设施服务商。</x:v>
      </x:c>
      <x:c r="F166" s="24" t="str">
        <x:v>["CoreWeave", "CoreWeave Inc.", "CoreWeave云"]</x:v>
      </x:c>
      <x:c r="G166" s="25" t="b">
        <x:v>0</x:v>
      </x:c>
      <x:c r="H166" s="24" t="str">
        <x:v>2025-10-30</x:v>
      </x:c>
      <x:c r="I166" s="28" t="str">
        <x:v>https://www.reuters.com/technology/openai-oracle-related-digital-announce-new-stargate-data-center-michigan-2025-10-30/</x:v>
      </x:c>
      <x:c r="J166" s="24" t="str">
        <x:v>主题相关性；不证明逐实体出现</x:v>
      </x:c>
      <x:c r="K166" s="24" t="str">
        <x:v>—</x:v>
      </x:c>
    </x:row>
    <x:row r="167" ht="29" customHeight="1">
      <x:c r="A167" s="24" t="str">
        <x:v>DayOne数据中心</x:v>
      </x:c>
      <x:c r="B167" s="24" t="str">
        <x:v>org</x:v>
      </x:c>
      <x:c r="C167" s="24" t="str">
        <x:v>AI项目及数据中心融资</x:v>
      </x:c>
      <x:c r="D167" s="24" t="str">
        <x:v>datacenter_financing</x:v>
      </x:c>
      <x:c r="E167" s="50" t="str">
        <x:v>面向亚太与国际客户的数据中心运营商。</x:v>
      </x:c>
      <x:c r="F167" s="24" t="str">
        <x:v>["DayOne数据中心", "DayOne Data Centers", "DayOne"]</x:v>
      </x:c>
      <x:c r="G167" s="25" t="b">
        <x:v>0</x:v>
      </x:c>
      <x:c r="H167" s="24" t="str">
        <x:v>2025-10-30</x:v>
      </x:c>
      <x:c r="I167" s="28" t="str">
        <x:v>https://www.reuters.com/technology/openai-oracle-related-digital-announce-new-stargate-data-center-michigan-2025-10-30/</x:v>
      </x:c>
      <x:c r="J167" s="24" t="str">
        <x:v>主题相关性；不证明逐实体出现</x:v>
      </x:c>
      <x:c r="K167" s="24" t="str">
        <x:v>—</x:v>
      </x:c>
    </x:row>
    <x:row r="168" ht="29" customHeight="1">
      <x:c r="A168" s="24" t="str">
        <x:v>字节跳动</x:v>
      </x:c>
      <x:c r="B168" s="24" t="str">
        <x:v>org</x:v>
      </x:c>
      <x:c r="C168" s="24" t="str">
        <x:v>AI项目及数据中心融资</x:v>
      </x:c>
      <x:c r="D168" s="24" t="str">
        <x:v>datacenter_financing</x:v>
      </x:c>
      <x:c r="E168" s="50" t="str">
        <x:v>互联网和AI相关企业，需求涉及数据中心与算力。</x:v>
      </x:c>
      <x:c r="F168" s="24" t="str">
        <x:v>["字节跳动", "ByteDance", "字节", "字节跳动有限公司"]</x:v>
      </x:c>
      <x:c r="G168" s="25" t="b">
        <x:v>0</x:v>
      </x:c>
      <x:c r="H168" s="24" t="str">
        <x:v>2025-10-30</x:v>
      </x:c>
      <x:c r="I168" s="28" t="str">
        <x:v>https://www.reuters.com/technology/openai-oracle-related-digital-announce-new-stargate-data-center-michigan-2025-10-30/</x:v>
      </x:c>
      <x:c r="J168" s="24" t="str">
        <x:v>主题相关性；不证明逐实体出现</x:v>
      </x:c>
      <x:c r="K168" s="24" t="str">
        <x:v>—</x:v>
      </x:c>
    </x:row>
    <x:row r="169" ht="29" customHeight="1">
      <x:c r="A169" s="24" t="str">
        <x:v>英伟达GPU</x:v>
      </x:c>
      <x:c r="B169" s="24" t="str">
        <x:v>asset</x:v>
      </x:c>
      <x:c r="C169" s="24" t="str">
        <x:v>AI项目及数据中心融资</x:v>
      </x:c>
      <x:c r="D169" s="24" t="str">
        <x:v>datacenter_financing</x:v>
      </x:c>
      <x:c r="E169" s="50" t="str">
        <x:v>AI模型训练推理的重要计算硬件。</x:v>
      </x:c>
      <x:c r="F169" s="24" t="str">
        <x:v>["英伟达GPU", "NVIDIA GPU", "AI GPU", "GPU加速卡"]</x:v>
      </x:c>
      <x:c r="G169" s="25" t="b">
        <x:v>0</x:v>
      </x:c>
      <x:c r="H169" s="24" t="str">
        <x:v>2025-10-30</x:v>
      </x:c>
      <x:c r="I169" s="28" t="str">
        <x:v>https://www.reuters.com/technology/openai-oracle-related-digital-announce-new-stargate-data-center-michigan-2025-10-30/</x:v>
      </x:c>
      <x:c r="J169" s="24" t="str">
        <x:v>主题相关性；不证明逐实体出现</x:v>
      </x:c>
      <x:c r="K169" s="24" t="str">
        <x:v>—</x:v>
      </x:c>
    </x:row>
    <x:row r="170" ht="29" customHeight="1">
      <x:c r="A170" s="24" t="str">
        <x:v>数据中心电力容量</x:v>
      </x:c>
      <x:c r="B170" s="24" t="str">
        <x:v>concept</x:v>
      </x:c>
      <x:c r="C170" s="24" t="str">
        <x:v>AI项目及数据中心融资</x:v>
      </x:c>
      <x:c r="D170" s="24" t="str">
        <x:v>datacenter_financing</x:v>
      </x:c>
      <x:c r="E170" s="50" t="str">
        <x:v>数据中心可用电力及变电容量约束指标。</x:v>
      </x:c>
      <x:c r="F170" s="24" t="str">
        <x:v>["数据中心电力容量", "Data Center Power Capacity", "MW容量", "GW容量"]</x:v>
      </x:c>
      <x:c r="G170" s="25" t="b">
        <x:v>0</x:v>
      </x:c>
      <x:c r="H170" s="24" t="str">
        <x:v>2025-10-30</x:v>
      </x:c>
      <x:c r="I170" s="28" t="str">
        <x:v>https://www.reuters.com/technology/openai-oracle-related-digital-announce-new-stargate-data-center-michigan-2025-10-30/</x:v>
      </x:c>
      <x:c r="J170" s="24" t="str">
        <x:v>主题相关性；不证明逐实体出现</x:v>
      </x:c>
      <x:c r="K170" s="24" t="str">
        <x:v>—</x:v>
      </x:c>
    </x:row>
    <x:row r="171" ht="29" customHeight="1">
      <x:c r="A171" s="24" t="str">
        <x:v>美国联邦储备系统</x:v>
      </x:c>
      <x:c r="B171" s="24" t="str">
        <x:v>org</x:v>
      </x:c>
      <x:c r="C171" s="24" t="str">
        <x:v>全球央行、汇率与债券</x:v>
      </x:c>
      <x:c r="D171" s="24" t="str">
        <x:v>monetary_policy_yields</x:v>
      </x:c>
      <x:c r="E171" s="50" t="str">
        <x:v>美国中央银行体系，影响全球利率和美元流动性。</x:v>
      </x:c>
      <x:c r="F171" s="24" t="str">
        <x:v>["美国联邦储备系统", "Federal Reserve", "Fed", "美联储"]</x:v>
      </x:c>
      <x:c r="G171" s="25" t="b">
        <x:v>0</x:v>
      </x:c>
      <x:c r="H171" s="24" t="str">
        <x:v>2026-10-02</x:v>
      </x:c>
      <x:c r="I171" s="28" t="str">
        <x:v>https://www.reuters.com/business/take-five/global-markets-themes-graphic-2026-10-02/</x:v>
      </x:c>
      <x:c r="J171" s="24" t="str">
        <x:v>主题相关性；不证明逐实体出现</x:v>
      </x:c>
      <x:c r="K171" s="24" t="str">
        <x:v>—</x:v>
      </x:c>
    </x:row>
    <x:row r="172" ht="29" customHeight="1">
      <x:c r="A172" s="24" t="str">
        <x:v>联邦公开市场委员会</x:v>
      </x:c>
      <x:c r="B172" s="24" t="str">
        <x:v>org</x:v>
      </x:c>
      <x:c r="C172" s="24" t="str">
        <x:v>全球央行、汇率与债券</x:v>
      </x:c>
      <x:c r="D172" s="24" t="str">
        <x:v>monetary_policy_yields</x:v>
      </x:c>
      <x:c r="E172" s="50" t="str">
        <x:v>美国货币政策利率决策机构。</x:v>
      </x:c>
      <x:c r="F172" s="24" t="str">
        <x:v>["联邦公开市场委员会", "FOMC", "Federal Open Market Committee"]</x:v>
      </x:c>
      <x:c r="G172" s="25" t="b">
        <x:v>0</x:v>
      </x:c>
      <x:c r="H172" s="24" t="str">
        <x:v>2026-10-02</x:v>
      </x:c>
      <x:c r="I172" s="28" t="str">
        <x:v>https://www.reuters.com/business/take-five/global-markets-themes-graphic-2026-10-02/</x:v>
      </x:c>
      <x:c r="J172" s="24" t="str">
        <x:v>主题相关性；不证明逐实体出现</x:v>
      </x:c>
      <x:c r="K172" s="24" t="str">
        <x:v>—</x:v>
      </x:c>
    </x:row>
    <x:row r="173" ht="29" customHeight="1">
      <x:c r="A173" s="24" t="str">
        <x:v>欧洲中央银行</x:v>
      </x:c>
      <x:c r="B173" s="24" t="str">
        <x:v>org</x:v>
      </x:c>
      <x:c r="C173" s="24" t="str">
        <x:v>全球央行、汇率与债券</x:v>
      </x:c>
      <x:c r="D173" s="24" t="str">
        <x:v>monetary_policy_yields</x:v>
      </x:c>
      <x:c r="E173" s="50" t="str">
        <x:v>欧元区货币政策机构。</x:v>
      </x:c>
      <x:c r="F173" s="24" t="str">
        <x:v>["欧洲中央银行", "ECB", "European Central Bank", "欧洲央行"]</x:v>
      </x:c>
      <x:c r="G173" s="25" t="b">
        <x:v>0</x:v>
      </x:c>
      <x:c r="H173" s="24" t="str">
        <x:v>2026-10-02</x:v>
      </x:c>
      <x:c r="I173" s="28" t="str">
        <x:v>https://www.reuters.com/business/take-five/global-markets-themes-graphic-2026-10-02/</x:v>
      </x:c>
      <x:c r="J173" s="24" t="str">
        <x:v>主题相关性；不证明逐实体出现</x:v>
      </x:c>
      <x:c r="K173" s="24" t="str">
        <x:v>—</x:v>
      </x:c>
    </x:row>
    <x:row r="174" ht="29" customHeight="1">
      <x:c r="A174" s="24" t="str">
        <x:v>日本银行</x:v>
      </x:c>
      <x:c r="B174" s="24" t="str">
        <x:v>org</x:v>
      </x:c>
      <x:c r="C174" s="24" t="str">
        <x:v>全球央行、汇率与债券</x:v>
      </x:c>
      <x:c r="D174" s="24" t="str">
        <x:v>monetary_policy_yields</x:v>
      </x:c>
      <x:c r="E174" s="50" t="str">
        <x:v>日本中央银行，影响日元和日债市场。</x:v>
      </x:c>
      <x:c r="F174" s="24" t="str">
        <x:v>["日本银行", "BOJ", "Bank of Japan", "日本央行"]</x:v>
      </x:c>
      <x:c r="G174" s="25" t="b">
        <x:v>0</x:v>
      </x:c>
      <x:c r="H174" s="24" t="str">
        <x:v>2026-10-02</x:v>
      </x:c>
      <x:c r="I174" s="28" t="str">
        <x:v>https://www.reuters.com/business/take-five/global-markets-themes-graphic-2026-10-02/</x:v>
      </x:c>
      <x:c r="J174" s="24" t="str">
        <x:v>主题相关性；不证明逐实体出现</x:v>
      </x:c>
      <x:c r="K174" s="24" t="str">
        <x:v>—</x:v>
      </x:c>
    </x:row>
    <x:row r="175" ht="29" customHeight="1">
      <x:c r="A175" s="24" t="str">
        <x:v>美国财政部</x:v>
      </x:c>
      <x:c r="B175" s="24" t="str">
        <x:v>org</x:v>
      </x:c>
      <x:c r="C175" s="24" t="str">
        <x:v>全球央行、汇率与债券</x:v>
      </x:c>
      <x:c r="D175" s="24" t="str">
        <x:v>monetary_policy_yields</x:v>
      </x:c>
      <x:c r="E175" s="50" t="str">
        <x:v>美国国债发行与财政政策部门。</x:v>
      </x:c>
      <x:c r="F175" s="24" t="str">
        <x:v>["美国财政部", "U.S. Treasury", "US Treasury", "United States Department of the Treasury"]</x:v>
      </x:c>
      <x:c r="G175" s="25" t="b">
        <x:v>0</x:v>
      </x:c>
      <x:c r="H175" s="24" t="str">
        <x:v>2026-10-02</x:v>
      </x:c>
      <x:c r="I175" s="28" t="str">
        <x:v>https://www.reuters.com/business/take-five/global-markets-themes-graphic-2026-10-02/</x:v>
      </x:c>
      <x:c r="J175" s="24" t="str">
        <x:v>主题相关性；不证明逐实体出现</x:v>
      </x:c>
      <x:c r="K175" s="24" t="str">
        <x:v>—</x:v>
      </x:c>
    </x:row>
    <x:row r="176" ht="29" customHeight="1">
      <x:c r="A176" s="24" t="str">
        <x:v>美国十年期国债</x:v>
      </x:c>
      <x:c r="B176" s="24" t="str">
        <x:v>asset</x:v>
      </x:c>
      <x:c r="C176" s="24" t="str">
        <x:v>全球央行、汇率与债券</x:v>
      </x:c>
      <x:c r="D176" s="24" t="str">
        <x:v>monetary_policy_yields</x:v>
      </x:c>
      <x:c r="E176" s="50" t="str">
        <x:v>全球利率及风险资产估值参考基准。</x:v>
      </x:c>
      <x:c r="F176" s="24" t="str">
        <x:v>["美国十年期国债", "US 10-year Treasury", "10Y UST", "美国10年期国债"]</x:v>
      </x:c>
      <x:c r="G176" s="25" t="b">
        <x:v>0</x:v>
      </x:c>
      <x:c r="H176" s="24" t="str">
        <x:v>2026-10-02</x:v>
      </x:c>
      <x:c r="I176" s="28" t="str">
        <x:v>https://www.reuters.com/business/take-five/global-markets-themes-graphic-2026-10-02/</x:v>
      </x:c>
      <x:c r="J176" s="24" t="str">
        <x:v>主题相关性；不证明逐实体出现</x:v>
      </x:c>
      <x:c r="K176" s="24" t="str">
        <x:v>—</x:v>
      </x:c>
    </x:row>
    <x:row r="177" ht="29" customHeight="1">
      <x:c r="A177" s="24" t="str">
        <x:v>法国十年期国债</x:v>
      </x:c>
      <x:c r="B177" s="24" t="str">
        <x:v>asset</x:v>
      </x:c>
      <x:c r="C177" s="24" t="str">
        <x:v>全球央行、汇率与债券</x:v>
      </x:c>
      <x:c r="D177" s="24" t="str">
        <x:v>monetary_policy_yields</x:v>
      </x:c>
      <x:c r="E177" s="50" t="str">
        <x:v>法国主权融资成本与欧元区风险衡量工具。</x:v>
      </x:c>
      <x:c r="F177" s="24" t="str">
        <x:v>["法国十年期国债", "French 10-year OAT", "法国OAT国债"]</x:v>
      </x:c>
      <x:c r="G177" s="25" t="b">
        <x:v>0</x:v>
      </x:c>
      <x:c r="H177" s="24" t="str">
        <x:v>2026-10-02</x:v>
      </x:c>
      <x:c r="I177" s="28" t="str">
        <x:v>https://www.reuters.com/business/take-five/global-markets-themes-graphic-2026-10-02/</x:v>
      </x:c>
      <x:c r="J177" s="24" t="str">
        <x:v>主题相关性；不证明逐实体出现</x:v>
      </x:c>
      <x:c r="K177" s="24" t="str">
        <x:v>—</x:v>
      </x:c>
    </x:row>
    <x:row r="178" ht="29" customHeight="1">
      <x:c r="A178" s="24" t="str">
        <x:v>德国十年期国债</x:v>
      </x:c>
      <x:c r="B178" s="24" t="str">
        <x:v>asset</x:v>
      </x:c>
      <x:c r="C178" s="24" t="str">
        <x:v>全球央行、汇率与债券</x:v>
      </x:c>
      <x:c r="D178" s="24" t="str">
        <x:v>monetary_policy_yields</x:v>
      </x:c>
      <x:c r="E178" s="50" t="str">
        <x:v>欧元区长期无风险利率参考之一。</x:v>
      </x:c>
      <x:c r="F178" s="24" t="str">
        <x:v>["德国十年期国债", "German 10-year Bund", "德国Bund国债"]</x:v>
      </x:c>
      <x:c r="G178" s="25" t="b">
        <x:v>0</x:v>
      </x:c>
      <x:c r="H178" s="24" t="str">
        <x:v>2026-10-02</x:v>
      </x:c>
      <x:c r="I178" s="28" t="str">
        <x:v>https://www.reuters.com/business/take-five/global-markets-themes-graphic-2026-10-02/</x:v>
      </x:c>
      <x:c r="J178" s="24" t="str">
        <x:v>主题相关性；不证明逐实体出现</x:v>
      </x:c>
      <x:c r="K178" s="24" t="str">
        <x:v>—</x:v>
      </x:c>
    </x:row>
    <x:row r="179" ht="29" customHeight="1">
      <x:c r="A179" s="24" t="str">
        <x:v>美元指数</x:v>
      </x:c>
      <x:c r="B179" s="24" t="str">
        <x:v>asset</x:v>
      </x:c>
      <x:c r="C179" s="24" t="str">
        <x:v>全球央行、汇率与债券</x:v>
      </x:c>
      <x:c r="D179" s="24" t="str">
        <x:v>monetary_policy_yields</x:v>
      </x:c>
      <x:c r="E179" s="50" t="str">
        <x:v>反映美元相对主要货币走势的市场指标。</x:v>
      </x:c>
      <x:c r="F179" s="24" t="str">
        <x:v>["美元指数", "DXY", "US Dollar Index", "美元指数DXY"]</x:v>
      </x:c>
      <x:c r="G179" s="25" t="b">
        <x:v>0</x:v>
      </x:c>
      <x:c r="H179" s="24" t="str">
        <x:v>2026-10-02</x:v>
      </x:c>
      <x:c r="I179" s="28" t="str">
        <x:v>https://www.reuters.com/business/take-five/global-markets-themes-graphic-2026-10-02/</x:v>
      </x:c>
      <x:c r="J179" s="24" t="str">
        <x:v>主题相关性；不证明逐实体出现</x:v>
      </x:c>
      <x:c r="K179" s="24" t="str">
        <x:v>—</x:v>
      </x:c>
    </x:row>
    <x:row r="180" ht="29" customHeight="1">
      <x:c r="A180" s="24" t="str">
        <x:v>欧元兑美元</x:v>
      </x:c>
      <x:c r="B180" s="24" t="str">
        <x:v>asset</x:v>
      </x:c>
      <x:c r="C180" s="24" t="str">
        <x:v>全球央行、汇率与债券</x:v>
      </x:c>
      <x:c r="D180" s="24" t="str">
        <x:v>monetary_policy_yields</x:v>
      </x:c>
      <x:c r="E180" s="50" t="str">
        <x:v>国际主要外汇交易货币对。</x:v>
      </x:c>
      <x:c r="F180" s="24" t="str">
        <x:v>["欧元兑美元", "EURUSD", "EUR/USD", "欧元美元汇率"]</x:v>
      </x:c>
      <x:c r="G180" s="25" t="b">
        <x:v>0</x:v>
      </x:c>
      <x:c r="H180" s="24" t="str">
        <x:v>2026-10-02</x:v>
      </x:c>
      <x:c r="I180" s="28" t="str">
        <x:v>https://www.reuters.com/business/take-five/global-markets-themes-graphic-2026-10-02/</x:v>
      </x:c>
      <x:c r="J180" s="24" t="str">
        <x:v>主题相关性；不证明逐实体出现</x:v>
      </x:c>
      <x:c r="K180" s="24" t="str">
        <x:v>—</x:v>
      </x:c>
    </x:row>
    <x:row r="181" ht="29" customHeight="1">
      <x:c r="A181" s="24" t="str">
        <x:v>美元兑日元</x:v>
      </x:c>
      <x:c r="B181" s="24" t="str">
        <x:v>asset</x:v>
      </x:c>
      <x:c r="C181" s="24" t="str">
        <x:v>全球央行、汇率与债券</x:v>
      </x:c>
      <x:c r="D181" s="24" t="str">
        <x:v>monetary_policy_yields</x:v>
      </x:c>
      <x:c r="E181" s="50" t="str">
        <x:v>日元与美元利差及避险交易相关汇率。</x:v>
      </x:c>
      <x:c r="F181" s="24" t="str">
        <x:v>["美元兑日元", "USDJPY", "USD/JPY", "美日汇率"]</x:v>
      </x:c>
      <x:c r="G181" s="25" t="b">
        <x:v>0</x:v>
      </x:c>
      <x:c r="H181" s="24" t="str">
        <x:v>2026-10-02</x:v>
      </x:c>
      <x:c r="I181" s="28" t="str">
        <x:v>https://www.reuters.com/business/take-five/global-markets-themes-graphic-2026-10-02/</x:v>
      </x:c>
      <x:c r="J181" s="24" t="str">
        <x:v>主题相关性；不证明逐实体出现</x:v>
      </x:c>
      <x:c r="K181" s="24" t="str">
        <x:v>—</x:v>
      </x:c>
    </x:row>
    <x:row r="182" ht="29" customHeight="1">
      <x:c r="A182" s="24" t="str">
        <x:v>布伦特-WTI价差</x:v>
      </x:c>
      <x:c r="B182" s="24" t="str">
        <x:v>asset</x:v>
      </x:c>
      <x:c r="C182" s="24" t="str">
        <x:v>全球央行、汇率与债券</x:v>
      </x:c>
      <x:c r="D182" s="24" t="str">
        <x:v>monetary_policy_yields</x:v>
      </x:c>
      <x:c r="E182" s="50" t="str">
        <x:v>衡量国际与美国原油市场价差的指标。</x:v>
      </x:c>
      <x:c r="F182" s="24" t="str">
        <x:v>["布伦特-WTI价差", "Brent WTI Spread", "布伦特WTI价差"]</x:v>
      </x:c>
      <x:c r="G182" s="25" t="b">
        <x:v>0</x:v>
      </x:c>
      <x:c r="H182" s="24" t="str">
        <x:v>2026-10-02</x:v>
      </x:c>
      <x:c r="I182" s="28" t="str">
        <x:v>https://www.reuters.com/business/take-five/global-markets-themes-graphic-2026-10-02/</x:v>
      </x:c>
      <x:c r="J182" s="24" t="str">
        <x:v>主题相关性；不证明逐实体出现</x:v>
      </x:c>
      <x:c r="K182" s="24" t="str">
        <x:v>—</x:v>
      </x:c>
    </x:row>
    <x:row r="183" ht="29" customHeight="1">
      <x:c r="A183" s="24" t="str">
        <x:v>印度储备银行</x:v>
      </x:c>
      <x:c r="B183" s="24" t="str">
        <x:v>org</x:v>
      </x:c>
      <x:c r="C183" s="24" t="str">
        <x:v>亚洲通胀与国内货币政策</x:v>
      </x:c>
      <x:c r="D183" s="24" t="str">
        <x:v>inflation_pass_through</x:v>
      </x:c>
      <x:c r="E183" s="50" t="str">
        <x:v>印度货币政策和金融体系监管机构。</x:v>
      </x:c>
      <x:c r="F183" s="24" t="str">
        <x:v>["印度储备银行", "RBI", "Reserve Bank of India", "印度央行"]</x:v>
      </x:c>
      <x:c r="G183" s="25" t="b">
        <x:v>0</x:v>
      </x:c>
      <x:c r="H183" s="24" t="str">
        <x:v>2026-10-12</x:v>
      </x:c>
      <x:c r="I183" s="28" t="str">
        <x:v>https://www.reuters.com/world/india/indias-september-retail-inflation-554-on-year-2026-10-12/</x:v>
      </x:c>
      <x:c r="J183" s="24" t="str">
        <x:v>主题相关性；不证明逐实体出现</x:v>
      </x:c>
      <x:c r="K183" s="24" t="str">
        <x:v>—</x:v>
      </x:c>
    </x:row>
    <x:row r="184" ht="29" customHeight="1">
      <x:c r="A184" s="24" t="str">
        <x:v>印度消费者物价指数</x:v>
      </x:c>
      <x:c r="B184" s="24" t="str">
        <x:v>asset</x:v>
      </x:c>
      <x:c r="C184" s="24" t="str">
        <x:v>亚洲通胀与国内货币政策</x:v>
      </x:c>
      <x:c r="D184" s="24" t="str">
        <x:v>inflation_pass_through</x:v>
      </x:c>
      <x:c r="E184" s="50" t="str">
        <x:v>反映印度居民消费价格变化的指标。</x:v>
      </x:c>
      <x:c r="F184" s="24" t="str">
        <x:v>["印度消费者物价指数", "India CPI", "印度CPI"]</x:v>
      </x:c>
      <x:c r="G184" s="25" t="b">
        <x:v>0</x:v>
      </x:c>
      <x:c r="H184" s="24" t="str">
        <x:v>2026-10-12</x:v>
      </x:c>
      <x:c r="I184" s="28" t="str">
        <x:v>https://www.reuters.com/world/india/indias-september-retail-inflation-554-on-year-2026-10-12/</x:v>
      </x:c>
      <x:c r="J184" s="24" t="str">
        <x:v>主题相关性；不证明逐实体出现</x:v>
      </x:c>
      <x:c r="K184" s="24" t="str">
        <x:v>—</x:v>
      </x:c>
    </x:row>
    <x:row r="185" ht="29" customHeight="1">
      <x:c r="A185" s="24" t="str">
        <x:v>日本国内企业物价指数</x:v>
      </x:c>
      <x:c r="B185" s="24" t="str">
        <x:v>asset</x:v>
      </x:c>
      <x:c r="C185" s="24" t="str">
        <x:v>亚洲通胀与国内货币政策</x:v>
      </x:c>
      <x:c r="D185" s="24" t="str">
        <x:v>inflation_pass_through</x:v>
      </x:c>
      <x:c r="E185" s="50" t="str">
        <x:v>衡量日本企业间商品交易价格变化的指标。</x:v>
      </x:c>
      <x:c r="F185" s="24" t="str">
        <x:v>["日本国内企业物价指数", "Japan CGPI", "CGPI", "日本企业物价指数"]</x:v>
      </x:c>
      <x:c r="G185" s="25" t="b">
        <x:v>0</x:v>
      </x:c>
      <x:c r="H185" s="24" t="str">
        <x:v>2026-10-12</x:v>
      </x:c>
      <x:c r="I185" s="28" t="str">
        <x:v>https://www.reuters.com/world/india/indias-september-retail-inflation-554-on-year-2026-10-12/</x:v>
      </x:c>
      <x:c r="J185" s="24" t="str">
        <x:v>主题相关性；不证明逐实体出现</x:v>
      </x:c>
      <x:c r="K185" s="24" t="str">
        <x:v>—</x:v>
      </x:c>
    </x:row>
    <x:row r="186" ht="29" customHeight="1">
      <x:c r="A186" s="24" t="str">
        <x:v>美国消费者物价指数</x:v>
      </x:c>
      <x:c r="B186" s="24" t="str">
        <x:v>asset</x:v>
      </x:c>
      <x:c r="C186" s="24" t="str">
        <x:v>亚洲通胀与国内货币政策</x:v>
      </x:c>
      <x:c r="D186" s="24" t="str">
        <x:v>inflation_pass_through</x:v>
      </x:c>
      <x:c r="E186" s="50" t="str">
        <x:v>美国居民消费价格指标，货币政策核心输入。</x:v>
      </x:c>
      <x:c r="F186" s="24" t="str">
        <x:v>["美国消费者物价指数", "US CPI", "CPI-U", "美国CPI"]</x:v>
      </x:c>
      <x:c r="G186" s="25" t="b">
        <x:v>0</x:v>
      </x:c>
      <x:c r="H186" s="24" t="str">
        <x:v>2026-10-12</x:v>
      </x:c>
      <x:c r="I186" s="28" t="str">
        <x:v>https://www.reuters.com/world/india/indias-september-retail-inflation-554-on-year-2026-10-12/</x:v>
      </x:c>
      <x:c r="J186" s="24" t="str">
        <x:v>主题相关性；不证明逐实体出现</x:v>
      </x:c>
      <x:c r="K186" s="24" t="str">
        <x:v>—</x:v>
      </x:c>
    </x:row>
    <x:row r="187" ht="29" customHeight="1">
      <x:c r="A187" s="24" t="str">
        <x:v>印度卢比</x:v>
      </x:c>
      <x:c r="B187" s="24" t="str">
        <x:v>asset</x:v>
      </x:c>
      <x:c r="C187" s="24" t="str">
        <x:v>亚洲通胀与国内货币政策</x:v>
      </x:c>
      <x:c r="D187" s="24" t="str">
        <x:v>inflation_pass_through</x:v>
      </x:c>
      <x:c r="E187" s="50" t="str">
        <x:v>印度法定货币，与进口成本及国际利差相关。</x:v>
      </x:c>
      <x:c r="F187" s="24" t="str">
        <x:v>["印度卢比", "INR", "Indian Rupee", "卢比"]</x:v>
      </x:c>
      <x:c r="G187" s="25" t="b">
        <x:v>0</x:v>
      </x:c>
      <x:c r="H187" s="24" t="str">
        <x:v>2026-10-12</x:v>
      </x:c>
      <x:c r="I187" s="28" t="str">
        <x:v>https://www.reuters.com/world/india/indias-september-retail-inflation-554-on-year-2026-10-12/</x:v>
      </x:c>
      <x:c r="J187" s="24" t="str">
        <x:v>主题相关性；不证明逐实体出现</x:v>
      </x:c>
      <x:c r="K187" s="24" t="str">
        <x:v>—</x:v>
      </x:c>
    </x:row>
    <x:row r="188" ht="29" customHeight="1">
      <x:c r="A188" s="24" t="str">
        <x:v>日元</x:v>
      </x:c>
      <x:c r="B188" s="24" t="str">
        <x:v>asset</x:v>
      </x:c>
      <x:c r="C188" s="24" t="str">
        <x:v>亚洲通胀与国内货币政策</x:v>
      </x:c>
      <x:c r="D188" s="24" t="str">
        <x:v>inflation_pass_through</x:v>
      </x:c>
      <x:c r="E188" s="50" t="str">
        <x:v>日本法定货币，受利差和能源进口影响。</x:v>
      </x:c>
      <x:c r="F188" s="24" t="str">
        <x:v>["日元", "JPY", "Japanese Yen"]</x:v>
      </x:c>
      <x:c r="G188" s="25" t="b">
        <x:v>0</x:v>
      </x:c>
      <x:c r="H188" s="24" t="str">
        <x:v>2026-10-12</x:v>
      </x:c>
      <x:c r="I188" s="28" t="str">
        <x:v>https://www.reuters.com/world/india/indias-september-retail-inflation-554-on-year-2026-10-12/</x:v>
      </x:c>
      <x:c r="J188" s="24" t="str">
        <x:v>主题相关性；不证明逐实体出现</x:v>
      </x:c>
      <x:c r="K188" s="24" t="str">
        <x:v>—</x:v>
      </x:c>
    </x:row>
    <x:row r="189" ht="29" customHeight="1">
      <x:c r="A189" s="24" t="str">
        <x:v>苏丹武装部队</x:v>
      </x:c>
      <x:c r="B189" s="24" t="str">
        <x:v>org</x:v>
      </x:c>
      <x:c r="C189" s="24" t="str">
        <x:v>苏丹内战与粮食金融</x:v>
      </x:c>
      <x:c r="D189" s="24" t="str">
        <x:v>conflict_fiscal_split</x:v>
      </x:c>
      <x:c r="E189" s="50" t="str">
        <x:v>苏丹国家军队，内战主要参与方。</x:v>
      </x:c>
      <x:c r="F189" s="24" t="str">
        <x:v>["苏丹武装部队", "SAF", "Sudanese Armed Forces", "苏丹军方"]</x:v>
      </x:c>
      <x:c r="G189" s="25" t="b">
        <x:v>0</x:v>
      </x:c>
      <x:c r="H189" s="24" t="str">
        <x:v>2026-09-22</x:v>
      </x:c>
      <x:c r="I189" s="28" t="str">
        <x:v>https://www.reuters.com/world/africa/currency-collapse-heaps-more-pain-civilians-divided-sudan-2026-09-22/</x:v>
      </x:c>
      <x:c r="J189" s="24" t="str">
        <x:v>主题相关性；不证明逐实体出现</x:v>
      </x:c>
      <x:c r="K189" s="24" t="str">
        <x:v>—</x:v>
      </x:c>
    </x:row>
    <x:row r="190" ht="29" customHeight="1">
      <x:c r="A190" s="24" t="str">
        <x:v>快速支援部队</x:v>
      </x:c>
      <x:c r="B190" s="24" t="str">
        <x:v>org</x:v>
      </x:c>
      <x:c r="C190" s="24" t="str">
        <x:v>苏丹内战与粮食金融</x:v>
      </x:c>
      <x:c r="D190" s="24" t="str">
        <x:v>conflict_fiscal_split</x:v>
      </x:c>
      <x:c r="E190" s="50" t="str">
        <x:v>苏丹准军事组织，内战主要参与方。</x:v>
      </x:c>
      <x:c r="F190" s="24" t="str">
        <x:v>["快速支援部队", "RSF", "Rapid Support Forces", "苏丹快速支援部队"]</x:v>
      </x:c>
      <x:c r="G190" s="25" t="b">
        <x:v>0</x:v>
      </x:c>
      <x:c r="H190" s="24" t="str">
        <x:v>2026-09-22</x:v>
      </x:c>
      <x:c r="I190" s="28" t="str">
        <x:v>https://www.reuters.com/world/africa/currency-collapse-heaps-more-pain-civilians-divided-sudan-2026-09-22/</x:v>
      </x:c>
      <x:c r="J190" s="24" t="str">
        <x:v>主题相关性；不证明逐实体出现</x:v>
      </x:c>
      <x:c r="K190" s="24" t="str">
        <x:v>—</x:v>
      </x:c>
    </x:row>
    <x:row r="191" ht="29" customHeight="1">
      <x:c r="A191" s="24" t="str">
        <x:v>苏丹中央银行</x:v>
      </x:c>
      <x:c r="B191" s="24" t="str">
        <x:v>org</x:v>
      </x:c>
      <x:c r="C191" s="24" t="str">
        <x:v>苏丹内战与粮食金融</x:v>
      </x:c>
      <x:c r="D191" s="24" t="str">
        <x:v>conflict_fiscal_split</x:v>
      </x:c>
      <x:c r="E191" s="50" t="str">
        <x:v>苏丹货币及金融体系相关机构。</x:v>
      </x:c>
      <x:c r="F191" s="24" t="str">
        <x:v>["苏丹中央银行", "Central Bank of Sudan", "苏丹央行"]</x:v>
      </x:c>
      <x:c r="G191" s="25" t="b">
        <x:v>0</x:v>
      </x:c>
      <x:c r="H191" s="24" t="str">
        <x:v>2026-09-22</x:v>
      </x:c>
      <x:c r="I191" s="28" t="str">
        <x:v>https://www.reuters.com/world/africa/currency-collapse-heaps-more-pain-civilians-divided-sudan-2026-09-22/</x:v>
      </x:c>
      <x:c r="J191" s="24" t="str">
        <x:v>主题相关性；不证明逐实体出现</x:v>
      </x:c>
      <x:c r="K191" s="24" t="str">
        <x:v>—</x:v>
      </x:c>
    </x:row>
    <x:row r="192" ht="29" customHeight="1">
      <x:c r="A192" s="24" t="str">
        <x:v>苏丹镑</x:v>
      </x:c>
      <x:c r="B192" s="24" t="str">
        <x:v>asset</x:v>
      </x:c>
      <x:c r="C192" s="24" t="str">
        <x:v>苏丹内战与粮食金融</x:v>
      </x:c>
      <x:c r="D192" s="24" t="str">
        <x:v>conflict_fiscal_split</x:v>
      </x:c>
      <x:c r="E192" s="50" t="str">
        <x:v>苏丹货币，汇率与通胀变化衡量经济压力。</x:v>
      </x:c>
      <x:c r="F192" s="24" t="str">
        <x:v>["苏丹镑", "Sudanese Pound", "SDG"]</x:v>
      </x:c>
      <x:c r="G192" s="25" t="b">
        <x:v>0</x:v>
      </x:c>
      <x:c r="H192" s="24" t="str">
        <x:v>2026-09-22</x:v>
      </x:c>
      <x:c r="I192" s="28" t="str">
        <x:v>https://www.reuters.com/world/africa/currency-collapse-heaps-more-pain-civilians-divided-sudan-2026-09-22/</x:v>
      </x:c>
      <x:c r="J192" s="24" t="str">
        <x:v>主题相关性；不证明逐实体出现</x:v>
      </x:c>
      <x:c r="K192" s="24" t="str">
        <x:v>—</x:v>
      </x:c>
    </x:row>
    <x:row r="193" ht="29" customHeight="1">
      <x:c r="A193" s="24" t="str">
        <x:v>达尔富尔</x:v>
      </x:c>
      <x:c r="B193" s="24" t="str">
        <x:v>place</x:v>
      </x:c>
      <x:c r="C193" s="24" t="str">
        <x:v>苏丹内战与粮食金融</x:v>
      </x:c>
      <x:c r="D193" s="24" t="str">
        <x:v>conflict_fiscal_split</x:v>
      </x:c>
      <x:c r="E193" s="50" t="str">
        <x:v>苏丹西部地区，武装冲突和难民问题集中。</x:v>
      </x:c>
      <x:c r="F193" s="24" t="str">
        <x:v>["达尔富尔", "Darfur", "苏丹达尔富尔"]</x:v>
      </x:c>
      <x:c r="G193" s="25" t="b">
        <x:v>0</x:v>
      </x:c>
      <x:c r="H193" s="24" t="str">
        <x:v>2026-09-22</x:v>
      </x:c>
      <x:c r="I193" s="28" t="str">
        <x:v>https://www.reuters.com/world/africa/currency-collapse-heaps-more-pain-civilians-divided-sudan-2026-09-22/</x:v>
      </x:c>
      <x:c r="J193" s="24" t="str">
        <x:v>主题相关性；不证明逐实体出现</x:v>
      </x:c>
      <x:c r="K193" s="24" t="str">
        <x:v>—</x:v>
      </x:c>
    </x:row>
    <x:row r="194" ht="29" customHeight="1">
      <x:c r="A194" s="24" t="str">
        <x:v>科尔多凡</x:v>
      </x:c>
      <x:c r="B194" s="24" t="str">
        <x:v>place</x:v>
      </x:c>
      <x:c r="C194" s="24" t="str">
        <x:v>苏丹内战与粮食金融</x:v>
      </x:c>
      <x:c r="D194" s="24" t="str">
        <x:v>conflict_fiscal_split</x:v>
      </x:c>
      <x:c r="E194" s="50" t="str">
        <x:v>苏丹中部地区，冲突与交通运输相关。</x:v>
      </x:c>
      <x:c r="F194" s="24" t="str">
        <x:v>["科尔多凡", "Kordofan", "Kurdufan", "科尔多凡地区"]</x:v>
      </x:c>
      <x:c r="G194" s="25" t="b">
        <x:v>0</x:v>
      </x:c>
      <x:c r="H194" s="24" t="str">
        <x:v>2026-09-22</x:v>
      </x:c>
      <x:c r="I194" s="28" t="str">
        <x:v>https://www.reuters.com/world/africa/currency-collapse-heaps-more-pain-civilians-divided-sudan-2026-09-22/</x:v>
      </x:c>
      <x:c r="J194" s="24" t="str">
        <x:v>主题相关性；不证明逐实体出现</x:v>
      </x:c>
      <x:c r="K194" s="24" t="str">
        <x:v>—</x:v>
      </x:c>
    </x:row>
    <x:row r="195" ht="29" customHeight="1">
      <x:c r="A195" s="24" t="str">
        <x:v>喀土穆</x:v>
      </x:c>
      <x:c r="B195" s="24" t="str">
        <x:v>place</x:v>
      </x:c>
      <x:c r="C195" s="24" t="str">
        <x:v>苏丹内战与粮食金融</x:v>
      </x:c>
      <x:c r="D195" s="24" t="str">
        <x:v>conflict_fiscal_split</x:v>
      </x:c>
      <x:c r="E195" s="50" t="str">
        <x:v>苏丹首都，政治和经济活动的重要中心。</x:v>
      </x:c>
      <x:c r="F195" s="24" t="str">
        <x:v>["喀土穆", "Khartoum", "喀土穆市"]</x:v>
      </x:c>
      <x:c r="G195" s="25" t="b">
        <x:v>0</x:v>
      </x:c>
      <x:c r="H195" s="24" t="str">
        <x:v>2026-09-22</x:v>
      </x:c>
      <x:c r="I195" s="28" t="str">
        <x:v>https://www.reuters.com/world/africa/currency-collapse-heaps-more-pain-civilians-divided-sudan-2026-09-22/</x:v>
      </x:c>
      <x:c r="J195" s="24" t="str">
        <x:v>主题相关性；不证明逐实体出现</x:v>
      </x:c>
      <x:c r="K195" s="24" t="str">
        <x:v>—</x:v>
      </x:c>
    </x:row>
    <x:row r="196" ht="29" customHeight="1">
      <x:c r="A196" s="24" t="str">
        <x:v>金矿资源</x:v>
      </x:c>
      <x:c r="B196" s="24" t="str">
        <x:v>commodity</x:v>
      </x:c>
      <x:c r="C196" s="24" t="str">
        <x:v>苏丹内战与粮食金融</x:v>
      </x:c>
      <x:c r="D196" s="24" t="str">
        <x:v>conflict_fiscal_split</x:v>
      </x:c>
      <x:c r="E196" s="50" t="str">
        <x:v>黄金开采出口与财政收入相关资源。</x:v>
      </x:c>
      <x:c r="F196" s="24" t="str">
        <x:v>["金矿资源", "Gold Ore", "苏丹黄金", "黄金矿石"]</x:v>
      </x:c>
      <x:c r="G196" s="25" t="b">
        <x:v>0</x:v>
      </x:c>
      <x:c r="H196" s="24" t="str">
        <x:v>2026-09-22</x:v>
      </x:c>
      <x:c r="I196" s="28" t="str">
        <x:v>https://www.reuters.com/world/africa/currency-collapse-heaps-more-pain-civilians-divided-sudan-2026-09-22/</x:v>
      </x:c>
      <x:c r="J196" s="24" t="str">
        <x:v>主题相关性；不证明逐实体出现</x:v>
      </x:c>
      <x:c r="K196" s="24" t="str">
        <x:v>—</x:v>
      </x:c>
    </x:row>
    <x:row r="197" ht="29" customHeight="1">
      <x:c r="A197" s="24" t="str">
        <x:v>阿拉伯胶</x:v>
      </x:c>
      <x:c r="B197" s="24" t="str">
        <x:v>commodity</x:v>
      </x:c>
      <x:c r="C197" s="24" t="str">
        <x:v>苏丹内战与粮食金融</x:v>
      </x:c>
      <x:c r="D197" s="24" t="str">
        <x:v>conflict_fiscal_split</x:v>
      </x:c>
      <x:c r="E197" s="50" t="str">
        <x:v>苏丹重要的农业出口商品。</x:v>
      </x:c>
      <x:c r="F197" s="24" t="str">
        <x:v>["阿拉伯胶", "Gum Arabic", "阿拉伯树胶"]</x:v>
      </x:c>
      <x:c r="G197" s="25" t="b">
        <x:v>0</x:v>
      </x:c>
      <x:c r="H197" s="24" t="str">
        <x:v>2026-09-22</x:v>
      </x:c>
      <x:c r="I197" s="28" t="str">
        <x:v>https://www.reuters.com/world/africa/currency-collapse-heaps-more-pain-civilians-divided-sudan-2026-09-22/</x:v>
      </x:c>
      <x:c r="J197" s="24" t="str">
        <x:v>主题相关性；不证明逐实体出现</x:v>
      </x:c>
      <x:c r="K197" s="24" t="str">
        <x:v>—</x:v>
      </x:c>
    </x:row>
    <x:row r="198" ht="29" customHeight="1">
      <x:c r="A198" s="24" t="str">
        <x:v>联合国难民署</x:v>
      </x:c>
      <x:c r="B198" s="24" t="str">
        <x:v>org</x:v>
      </x:c>
      <x:c r="C198" s="24" t="str">
        <x:v>苏丹内战与粮食金融</x:v>
      </x:c>
      <x:c r="D198" s="24" t="str">
        <x:v>conflict_fiscal_split</x:v>
      </x:c>
      <x:c r="E198" s="50" t="str">
        <x:v>联合国负责难民保护与援助的机构。</x:v>
      </x:c>
      <x:c r="F198" s="24" t="str">
        <x:v>["联合国难民署", "UNHCR", "United Nations High Commissioner for Refugees"]</x:v>
      </x:c>
      <x:c r="G198" s="25" t="b">
        <x:v>0</x:v>
      </x:c>
      <x:c r="H198" s="24" t="str">
        <x:v>2026-09-22</x:v>
      </x:c>
      <x:c r="I198" s="28" t="str">
        <x:v>https://www.reuters.com/world/africa/currency-collapse-heaps-more-pain-civilians-divided-sudan-2026-09-22/</x:v>
      </x:c>
      <x:c r="J198" s="24" t="str">
        <x:v>主题相关性；不证明逐实体出现</x:v>
      </x:c>
      <x:c r="K198" s="24" t="str">
        <x:v>—</x:v>
      </x:c>
    </x:row>
    <x:row r="199" ht="29" customHeight="1">
      <x:c r="A199" s="24" t="str">
        <x:v>M23运动</x:v>
      </x:c>
      <x:c r="B199" s="24" t="str">
        <x:v>org</x:v>
      </x:c>
      <x:c r="C199" s="24" t="str">
        <x:v>刚果东部冲突与矿产</x:v>
      </x:c>
      <x:c r="D199" s="24" t="str">
        <x:v>conflict_minerals</x:v>
      </x:c>
      <x:c r="E199" s="50" t="str">
        <x:v>刚果（金）东部武装组织，涉及地区安全与矿产控制。</x:v>
      </x:c>
      <x:c r="F199" s="24" t="str">
        <x:v>["M23运动", "M23", "March 23 Movement", "三月二十三日运动"]</x:v>
      </x:c>
      <x:c r="G199" s="25" t="b">
        <x:v>0</x:v>
      </x:c>
      <x:c r="H199" s="24" t="str">
        <x:v>2026-10-09</x:v>
      </x:c>
      <x:c r="I199" s="28" t="str">
        <x:v>https://www.reuters.com/world/africa/erik-princes-forces-suffer-battlefield-loss-congo-former-ufc-fighter-among-2026-10-09/</x:v>
      </x:c>
      <x:c r="J199" s="24" t="str">
        <x:v>主题相关性；不证明逐实体出现</x:v>
      </x:c>
      <x:c r="K199" s="24" t="str">
        <x:v>—</x:v>
      </x:c>
    </x:row>
    <x:row r="200" ht="29" customHeight="1">
      <x:c r="A200" s="24" t="str">
        <x:v>刚果民主共和国政府</x:v>
      </x:c>
      <x:c r="B200" s="24" t="str">
        <x:v>org</x:v>
      </x:c>
      <x:c r="C200" s="24" t="str">
        <x:v>刚果东部冲突与矿产</x:v>
      </x:c>
      <x:c r="D200" s="24" t="str">
        <x:v>conflict_minerals</x:v>
      </x:c>
      <x:c r="E200" s="50" t="str">
        <x:v>刚果（金）中央政府，矿产和东部安全政策参与方。</x:v>
      </x:c>
      <x:c r="F200" s="24" t="str">
        <x:v>["刚果民主共和国政府", "DRC Government", "刚果金政府", "刚果（金）政府"]</x:v>
      </x:c>
      <x:c r="G200" s="25" t="b">
        <x:v>0</x:v>
      </x:c>
      <x:c r="H200" s="24" t="str">
        <x:v>2026-10-09</x:v>
      </x:c>
      <x:c r="I200" s="28" t="str">
        <x:v>https://www.reuters.com/world/africa/erik-princes-forces-suffer-battlefield-loss-congo-former-ufc-fighter-among-2026-10-09/</x:v>
      </x:c>
      <x:c r="J200" s="24" t="str">
        <x:v>主题相关性；不证明逐实体出现</x:v>
      </x:c>
      <x:c r="K200" s="24" t="str">
        <x:v>—</x:v>
      </x:c>
    </x:row>
    <x:row r="201" ht="29" customHeight="1">
      <x:c r="A201" s="24" t="str">
        <x:v>卢旺达国防军</x:v>
      </x:c>
      <x:c r="B201" s="24" t="str">
        <x:v>org</x:v>
      </x:c>
      <x:c r="C201" s="24" t="str">
        <x:v>刚果东部冲突与矿产</x:v>
      </x:c>
      <x:c r="D201" s="24" t="str">
        <x:v>conflict_minerals</x:v>
      </x:c>
      <x:c r="E201" s="50" t="str">
        <x:v>卢旺达国家武装力量，涉及刚果东部地区局势。</x:v>
      </x:c>
      <x:c r="F201" s="24" t="str">
        <x:v>["卢旺达国防军", "RDF", "Rwanda Defence Force", "卢旺达军队"]</x:v>
      </x:c>
      <x:c r="G201" s="25" t="b">
        <x:v>0</x:v>
      </x:c>
      <x:c r="H201" s="24" t="str">
        <x:v>2026-10-09</x:v>
      </x:c>
      <x:c r="I201" s="28" t="str">
        <x:v>https://www.reuters.com/world/africa/erik-princes-forces-suffer-battlefield-loss-congo-former-ufc-fighter-among-2026-10-09/</x:v>
      </x:c>
      <x:c r="J201" s="24" t="str">
        <x:v>主题相关性；不证明逐实体出现</x:v>
      </x:c>
      <x:c r="K201" s="24" t="str">
        <x:v>—</x:v>
      </x:c>
    </x:row>
    <x:row r="202" ht="29" customHeight="1">
      <x:c r="A202" s="24" t="str">
        <x:v>北基伍省</x:v>
      </x:c>
      <x:c r="B202" s="24" t="str">
        <x:v>place</x:v>
      </x:c>
      <x:c r="C202" s="24" t="str">
        <x:v>刚果东部冲突与矿产</x:v>
      </x:c>
      <x:c r="D202" s="24" t="str">
        <x:v>conflict_minerals</x:v>
      </x:c>
      <x:c r="E202" s="50" t="str">
        <x:v>刚果（金）东部地区，冲突及采矿活动集中。</x:v>
      </x:c>
      <x:c r="F202" s="24" t="str">
        <x:v>["北基伍省", "North Kivu", "北基伍"]</x:v>
      </x:c>
      <x:c r="G202" s="25" t="b">
        <x:v>0</x:v>
      </x:c>
      <x:c r="H202" s="24" t="str">
        <x:v>2026-10-09</x:v>
      </x:c>
      <x:c r="I202" s="28" t="str">
        <x:v>https://www.reuters.com/world/africa/erik-princes-forces-suffer-battlefield-loss-congo-former-ufc-fighter-among-2026-10-09/</x:v>
      </x:c>
      <x:c r="J202" s="24" t="str">
        <x:v>主题相关性；不证明逐实体出现</x:v>
      </x:c>
      <x:c r="K202" s="24" t="str">
        <x:v>—</x:v>
      </x:c>
    </x:row>
    <x:row r="203" ht="29" customHeight="1">
      <x:c r="A203" s="24" t="str">
        <x:v>南基伍省</x:v>
      </x:c>
      <x:c r="B203" s="24" t="str">
        <x:v>place</x:v>
      </x:c>
      <x:c r="C203" s="24" t="str">
        <x:v>刚果东部冲突与矿产</x:v>
      </x:c>
      <x:c r="D203" s="24" t="str">
        <x:v>conflict_minerals</x:v>
      </x:c>
      <x:c r="E203" s="50" t="str">
        <x:v>刚果（金）东部地区，贸易与军事局势相关。</x:v>
      </x:c>
      <x:c r="F203" s="24" t="str">
        <x:v>["南基伍省", "South Kivu", "南基伍"]</x:v>
      </x:c>
      <x:c r="G203" s="25" t="b">
        <x:v>0</x:v>
      </x:c>
      <x:c r="H203" s="24" t="str">
        <x:v>2026-10-09</x:v>
      </x:c>
      <x:c r="I203" s="28" t="str">
        <x:v>https://www.reuters.com/world/africa/erik-princes-forces-suffer-battlefield-loss-congo-former-ufc-fighter-among-2026-10-09/</x:v>
      </x:c>
      <x:c r="J203" s="24" t="str">
        <x:v>主题相关性；不证明逐实体出现</x:v>
      </x:c>
      <x:c r="K203" s="24" t="str">
        <x:v>—</x:v>
      </x:c>
    </x:row>
    <x:row r="204" ht="29" customHeight="1">
      <x:c r="A204" s="24" t="str">
        <x:v>乌维拉</x:v>
      </x:c>
      <x:c r="B204" s="24" t="str">
        <x:v>place</x:v>
      </x:c>
      <x:c r="C204" s="24" t="str">
        <x:v>刚果东部冲突与矿产</x:v>
      </x:c>
      <x:c r="D204" s="24" t="str">
        <x:v>conflict_minerals</x:v>
      </x:c>
      <x:c r="E204" s="50" t="str">
        <x:v>刚果（金）东部城市，毗邻重要跨境路线。</x:v>
      </x:c>
      <x:c r="F204" s="24" t="str">
        <x:v>["乌维拉", "Uvira", "乌维拉市"]</x:v>
      </x:c>
      <x:c r="G204" s="25" t="b">
        <x:v>0</x:v>
      </x:c>
      <x:c r="H204" s="24" t="str">
        <x:v>2026-10-09</x:v>
      </x:c>
      <x:c r="I204" s="28" t="str">
        <x:v>https://www.reuters.com/world/africa/erik-princes-forces-suffer-battlefield-loss-congo-former-ufc-fighter-among-2026-10-09/</x:v>
      </x:c>
      <x:c r="J204" s="24" t="str">
        <x:v>主题相关性；不证明逐实体出现</x:v>
      </x:c>
      <x:c r="K204" s="24" t="str">
        <x:v>—</x:v>
      </x:c>
    </x:row>
    <x:row r="205" ht="29" customHeight="1">
      <x:c r="A205" s="24" t="str">
        <x:v>戈马</x:v>
      </x:c>
      <x:c r="B205" s="24" t="str">
        <x:v>place</x:v>
      </x:c>
      <x:c r="C205" s="24" t="str">
        <x:v>刚果东部冲突与矿产</x:v>
      </x:c>
      <x:c r="D205" s="24" t="str">
        <x:v>conflict_minerals</x:v>
      </x:c>
      <x:c r="E205" s="50" t="str">
        <x:v>刚果（金）东部城市，区域商业和人道活动节点。</x:v>
      </x:c>
      <x:c r="F205" s="24" t="str">
        <x:v>["戈马", "Goma", "戈马市"]</x:v>
      </x:c>
      <x:c r="G205" s="25" t="b">
        <x:v>0</x:v>
      </x:c>
      <x:c r="H205" s="24" t="str">
        <x:v>2026-10-09</x:v>
      </x:c>
      <x:c r="I205" s="28" t="str">
        <x:v>https://www.reuters.com/world/africa/erik-princes-forces-suffer-battlefield-loss-congo-former-ufc-fighter-among-2026-10-09/</x:v>
      </x:c>
      <x:c r="J205" s="24" t="str">
        <x:v>主题相关性；不证明逐实体出现</x:v>
      </x:c>
      <x:c r="K205" s="24" t="str">
        <x:v>—</x:v>
      </x:c>
    </x:row>
    <x:row r="206" ht="29" customHeight="1">
      <x:c r="A206" s="24" t="str">
        <x:v>钽矿</x:v>
      </x:c>
      <x:c r="B206" s="24" t="str">
        <x:v>commodity</x:v>
      </x:c>
      <x:c r="C206" s="24" t="str">
        <x:v>刚果东部冲突与矿产</x:v>
      </x:c>
      <x:c r="D206" s="24" t="str">
        <x:v>conflict_minerals</x:v>
      </x:c>
      <x:c r="E206" s="50" t="str">
        <x:v>电子制造供应链相关矿产。</x:v>
      </x:c>
      <x:c r="F206" s="24" t="str">
        <x:v>["钽矿", "Tantalum", "Coltan", "钽铁矿"]</x:v>
      </x:c>
      <x:c r="G206" s="25" t="b">
        <x:v>0</x:v>
      </x:c>
      <x:c r="H206" s="24" t="str">
        <x:v>2026-10-09</x:v>
      </x:c>
      <x:c r="I206" s="28" t="str">
        <x:v>https://www.reuters.com/world/africa/erik-princes-forces-suffer-battlefield-loss-congo-former-ufc-fighter-among-2026-10-09/</x:v>
      </x:c>
      <x:c r="J206" s="24" t="str">
        <x:v>主题相关性；不证明逐实体出现</x:v>
      </x:c>
      <x:c r="K206" s="24" t="str">
        <x:v>—</x:v>
      </x:c>
    </x:row>
    <x:row r="207" ht="29" customHeight="1">
      <x:c r="A207" s="24" t="str">
        <x:v>埃里克·普林斯</x:v>
      </x:c>
      <x:c r="B207" s="24" t="str">
        <x:v>person</x:v>
      </x:c>
      <x:c r="C207" s="24" t="str">
        <x:v>刚果东部冲突与矿产</x:v>
      </x:c>
      <x:c r="D207" s="24" t="str">
        <x:v>conflict_minerals</x:v>
      </x:c>
      <x:c r="E207" s="50" t="str">
        <x:v>美国商人，与私人安全服务相关。</x:v>
      </x:c>
      <x:c r="F207" s="24" t="str">
        <x:v>["埃里克·普林斯", "Erik Prince", "Erik Dean Prince", "埃里克普林斯"]</x:v>
      </x:c>
      <x:c r="G207" s="25" t="b">
        <x:v>0</x:v>
      </x:c>
      <x:c r="H207" s="24" t="str">
        <x:v>2026-10-09</x:v>
      </x:c>
      <x:c r="I207" s="28" t="str">
        <x:v>https://www.reuters.com/world/africa/erik-princes-forces-suffer-battlefield-loss-congo-former-ufc-fighter-among-2026-10-09/</x:v>
      </x:c>
      <x:c r="J207" s="24" t="str">
        <x:v>主题相关性；不证明逐实体出现</x:v>
      </x:c>
      <x:c r="K207" s="24" t="str">
        <x:v>—</x:v>
      </x:c>
    </x:row>
    <x:row r="208" ht="29" customHeight="1">
      <x:c r="A208" s="24" t="str">
        <x:v>VectusGlobal</x:v>
      </x:c>
      <x:c r="B208" s="24" t="str">
        <x:v>org</x:v>
      </x:c>
      <x:c r="C208" s="24" t="str">
        <x:v>刚果东部冲突与矿产</x:v>
      </x:c>
      <x:c r="D208" s="24" t="str">
        <x:v>conflict_minerals</x:v>
      </x:c>
      <x:c r="E208" s="50" t="str">
        <x:v>私人安全企业，涉及刚果东部安全项目报道。</x:v>
      </x:c>
      <x:c r="F208" s="24" t="str">
        <x:v>["VectusGlobal", "Vectus Global", "Vectus"]</x:v>
      </x:c>
      <x:c r="G208" s="25" t="b">
        <x:v>0</x:v>
      </x:c>
      <x:c r="H208" s="24" t="str">
        <x:v>2026-10-09</x:v>
      </x:c>
      <x:c r="I208" s="28" t="str">
        <x:v>https://www.reuters.com/world/africa/erik-princes-forces-suffer-battlefield-loss-congo-former-ufc-fighter-among-2026-10-09/</x:v>
      </x:c>
      <x:c r="J208" s="24" t="str">
        <x:v>主题相关性；不证明逐实体出现</x:v>
      </x:c>
      <x:c r="K208" s="24" t="str">
        <x:v>原名：Vectus Global</x:v>
      </x:c>
    </x:row>
    <x:row r="209" ht="29" customHeight="1">
      <x:c r="A209" s="24" t="str">
        <x:v>路易斯·伊纳西奥·卢拉·达席尔瓦</x:v>
      </x:c>
      <x:c r="B209" s="24" t="str">
        <x:v>person</x:v>
      </x:c>
      <x:c r="C209" s="24" t="str">
        <x:v>拉丁美洲选举与能源债务</x:v>
      </x:c>
      <x:c r="D209" s="24" t="str">
        <x:v>elections_fiscal_debt</x:v>
      </x:c>
      <x:c r="E209" s="50" t="str">
        <x:v>巴西政治人物，涉及财政与产业政策。</x:v>
      </x:c>
      <x:c r="F209" s="24" t="str">
        <x:v>["路易斯·伊纳西奥·卢拉·达席尔瓦", "Luiz Inacio Lula da Silva", "Lula", "卢拉"]</x:v>
      </x:c>
      <x:c r="G209" s="25" t="b">
        <x:v>0</x:v>
      </x:c>
      <x:c r="H209" s="24" t="str">
        <x:v>2026-10-04</x:v>
      </x:c>
      <x:c r="I209" s="28" t="str">
        <x:v>https://www.reuters.com/world/americas/brazilians-head-polls-high-stakes-polarized-election-2026-10-04/</x:v>
      </x:c>
      <x:c r="J209" s="24" t="str">
        <x:v>主题相关性；不证明逐实体出现</x:v>
      </x:c>
      <x:c r="K209" s="24" t="str">
        <x:v>—</x:v>
      </x:c>
    </x:row>
    <x:row r="210" ht="29" customHeight="1">
      <x:c r="A210" s="24" t="str">
        <x:v>弗拉维奥·博索纳罗</x:v>
      </x:c>
      <x:c r="B210" s="24" t="str">
        <x:v>person</x:v>
      </x:c>
      <x:c r="C210" s="24" t="str">
        <x:v>拉丁美洲选举与能源债务</x:v>
      </x:c>
      <x:c r="D210" s="24" t="str">
        <x:v>elections_fiscal_debt</x:v>
      </x:c>
      <x:c r="E210" s="50" t="str">
        <x:v>巴西政治人物，涉及2026年总统选举进程。</x:v>
      </x:c>
      <x:c r="F210" s="24" t="str">
        <x:v>["弗拉维奥·博索纳罗", "Flavio Bolsonaro", "Flávio Bolsonaro", "弗拉维奥博索纳罗"]</x:v>
      </x:c>
      <x:c r="G210" s="25" t="b">
        <x:v>0</x:v>
      </x:c>
      <x:c r="H210" s="24" t="str">
        <x:v>2026-10-04</x:v>
      </x:c>
      <x:c r="I210" s="28" t="str">
        <x:v>https://www.reuters.com/world/americas/brazilians-head-polls-high-stakes-polarized-election-2026-10-04/</x:v>
      </x:c>
      <x:c r="J210" s="24" t="str">
        <x:v>主题相关性；不证明逐实体出现</x:v>
      </x:c>
      <x:c r="K210" s="24" t="str">
        <x:v>—</x:v>
      </x:c>
    </x:row>
    <x:row r="211" ht="29" customHeight="1">
      <x:c r="A211" s="24" t="str">
        <x:v>巴西中央银行</x:v>
      </x:c>
      <x:c r="B211" s="24" t="str">
        <x:v>org</x:v>
      </x:c>
      <x:c r="C211" s="24" t="str">
        <x:v>拉丁美洲选举与能源债务</x:v>
      </x:c>
      <x:c r="D211" s="24" t="str">
        <x:v>elections_fiscal_debt</x:v>
      </x:c>
      <x:c r="E211" s="50" t="str">
        <x:v>巴西货币政策及金融稳定机构。</x:v>
      </x:c>
      <x:c r="F211" s="24" t="str">
        <x:v>["巴西中央银行", "Banco Central do Brasil", "BCB", "巴西央行"]</x:v>
      </x:c>
      <x:c r="G211" s="25" t="b">
        <x:v>0</x:v>
      </x:c>
      <x:c r="H211" s="24" t="str">
        <x:v>2026-10-04</x:v>
      </x:c>
      <x:c r="I211" s="28" t="str">
        <x:v>https://www.reuters.com/world/americas/brazilians-head-polls-high-stakes-polarized-election-2026-10-04/</x:v>
      </x:c>
      <x:c r="J211" s="24" t="str">
        <x:v>主题相关性；不证明逐实体出现</x:v>
      </x:c>
      <x:c r="K211" s="24" t="str">
        <x:v>—</x:v>
      </x:c>
    </x:row>
    <x:row r="212" ht="29" customHeight="1">
      <x:c r="A212" s="24" t="str">
        <x:v>巴西雷亚尔</x:v>
      </x:c>
      <x:c r="B212" s="24" t="str">
        <x:v>asset</x:v>
      </x:c>
      <x:c r="C212" s="24" t="str">
        <x:v>拉丁美洲选举与能源债务</x:v>
      </x:c>
      <x:c r="D212" s="24" t="str">
        <x:v>elections_fiscal_debt</x:v>
      </x:c>
      <x:c r="E212" s="50" t="str">
        <x:v>巴西货币，受国内财政和利率变化影响。</x:v>
      </x:c>
      <x:c r="F212" s="24" t="str">
        <x:v>["巴西雷亚尔", "BRL", "Brazilian Real", "雷亚尔"]</x:v>
      </x:c>
      <x:c r="G212" s="25" t="b">
        <x:v>0</x:v>
      </x:c>
      <x:c r="H212" s="24" t="str">
        <x:v>2026-10-04</x:v>
      </x:c>
      <x:c r="I212" s="28" t="str">
        <x:v>https://www.reuters.com/world/americas/brazilians-head-polls-high-stakes-polarized-election-2026-10-04/</x:v>
      </x:c>
      <x:c r="J212" s="24" t="str">
        <x:v>主题相关性；不证明逐实体出现</x:v>
      </x:c>
      <x:c r="K212" s="24" t="str">
        <x:v>—</x:v>
      </x:c>
    </x:row>
    <x:row r="213" ht="29" customHeight="1">
      <x:c r="A213" s="24" t="str">
        <x:v>圣保罗IBOVESPA指数</x:v>
      </x:c>
      <x:c r="B213" s="24" t="str">
        <x:v>asset</x:v>
      </x:c>
      <x:c r="C213" s="24" t="str">
        <x:v>拉丁美洲选举与能源债务</x:v>
      </x:c>
      <x:c r="D213" s="24" t="str">
        <x:v>elections_fiscal_debt</x:v>
      </x:c>
      <x:c r="E213" s="50" t="str">
        <x:v>巴西股票市场主要指数。</x:v>
      </x:c>
      <x:c r="F213" s="24" t="str">
        <x:v>["圣保罗IBOVESPA指数", "Ibovespa", "IBOV", "巴西股指"]</x:v>
      </x:c>
      <x:c r="G213" s="25" t="b">
        <x:v>0</x:v>
      </x:c>
      <x:c r="H213" s="24" t="str">
        <x:v>2026-10-04</x:v>
      </x:c>
      <x:c r="I213" s="28" t="str">
        <x:v>https://www.reuters.com/world/americas/brazilians-head-polls-high-stakes-polarized-election-2026-10-04/</x:v>
      </x:c>
      <x:c r="J213" s="24" t="str">
        <x:v>主题相关性；不证明逐实体出现</x:v>
      </x:c>
      <x:c r="K213" s="24" t="str">
        <x:v>—</x:v>
      </x:c>
    </x:row>
    <x:row r="214" ht="29" customHeight="1">
      <x:c r="A214" s="24" t="str">
        <x:v>巴西劳工党</x:v>
      </x:c>
      <x:c r="B214" s="24" t="str">
        <x:v>org</x:v>
      </x:c>
      <x:c r="C214" s="24" t="str">
        <x:v>拉丁美洲选举与能源债务</x:v>
      </x:c>
      <x:c r="D214" s="24" t="str">
        <x:v>elections_fiscal_debt</x:v>
      </x:c>
      <x:c r="E214" s="50" t="str">
        <x:v>巴西主要政党之一。</x:v>
      </x:c>
      <x:c r="F214" s="24" t="str">
        <x:v>["巴西劳工党", "PT", "Workers' Party Brazil", "巴西工人党"]</x:v>
      </x:c>
      <x:c r="G214" s="25" t="b">
        <x:v>0</x:v>
      </x:c>
      <x:c r="H214" s="24" t="str">
        <x:v>2026-10-04</x:v>
      </x:c>
      <x:c r="I214" s="28" t="str">
        <x:v>https://www.reuters.com/world/americas/brazilians-head-polls-high-stakes-polarized-election-2026-10-04/</x:v>
      </x:c>
      <x:c r="J214" s="24" t="str">
        <x:v>主题相关性；不证明逐实体出现</x:v>
      </x:c>
      <x:c r="K214" s="24" t="str">
        <x:v>—</x:v>
      </x:c>
    </x:row>
    <x:row r="215" ht="29" customHeight="1">
      <x:c r="A215" s="24" t="str">
        <x:v>委内瑞拉国家石油公司</x:v>
      </x:c>
      <x:c r="B215" s="24" t="str">
        <x:v>org</x:v>
      </x:c>
      <x:c r="C215" s="24" t="str">
        <x:v>委内瑞拉债务与石油重组</x:v>
      </x:c>
      <x:c r="D215" s="24" t="str">
        <x:v>sovereign_debt_energy</x:v>
      </x:c>
      <x:c r="E215" s="50" t="str">
        <x:v>委内瑞拉国有石油企业，关联产能、出口与债务。</x:v>
      </x:c>
      <x:c r="F215" s="24" t="str">
        <x:v>["委内瑞拉国家石油公司", "PDVSA", "Petroleos de Venezuela", "委内瑞拉石油公司"]</x:v>
      </x:c>
      <x:c r="G215" s="25" t="b">
        <x:v>0</x:v>
      </x:c>
      <x:c r="H215" s="24" t="str">
        <x:v>2026-09-21</x:v>
      </x:c>
      <x:c r="I215" s="28" t="str">
        <x:v>https://www.reuters.com/world/americas/venezuelan-delegation-led-by-rodriguez-discuss-debt-energy-us-sources-say-2026-09-21/</x:v>
      </x:c>
      <x:c r="J215" s="24" t="str">
        <x:v>主题相关性；不证明逐实体出现</x:v>
      </x:c>
      <x:c r="K215" s="24" t="str">
        <x:v>—</x:v>
      </x:c>
    </x:row>
    <x:row r="216" ht="29" customHeight="1">
      <x:c r="A216" s="24" t="str">
        <x:v>德尔西·罗德里格斯</x:v>
      </x:c>
      <x:c r="B216" s="24" t="str">
        <x:v>person</x:v>
      </x:c>
      <x:c r="C216" s="24" t="str">
        <x:v>委内瑞拉债务与石油重组</x:v>
      </x:c>
      <x:c r="D216" s="24" t="str">
        <x:v>sovereign_debt_energy</x:v>
      </x:c>
      <x:c r="E216" s="50" t="str">
        <x:v>委内瑞拉政治人物，涉及国家能源与金融政策。</x:v>
      </x:c>
      <x:c r="F216" s="24" t="str">
        <x:v>["德尔西·罗德里格斯", "Delcy Rodríguez", "Delcy Rodriguez", "德尔西罗德里格斯"]</x:v>
      </x:c>
      <x:c r="G216" s="25" t="b">
        <x:v>0</x:v>
      </x:c>
      <x:c r="H216" s="24" t="str">
        <x:v>2026-09-21</x:v>
      </x:c>
      <x:c r="I216" s="28" t="str">
        <x:v>https://www.reuters.com/world/americas/venezuelan-delegation-led-by-rodriguez-discuss-debt-energy-us-sources-say-2026-09-21/</x:v>
      </x:c>
      <x:c r="J216" s="24" t="str">
        <x:v>主题相关性；不证明逐实体出现</x:v>
      </x:c>
      <x:c r="K216" s="24" t="str">
        <x:v>—</x:v>
      </x:c>
    </x:row>
    <x:row r="217" ht="29" customHeight="1">
      <x:c r="A217" s="24" t="str">
        <x:v>美洲开发银行</x:v>
      </x:c>
      <x:c r="B217" s="24" t="str">
        <x:v>org</x:v>
      </x:c>
      <x:c r="C217" s="24" t="str">
        <x:v>委内瑞拉债务与石油重组</x:v>
      </x:c>
      <x:c r="D217" s="24" t="str">
        <x:v>sovereign_debt_energy</x:v>
      </x:c>
      <x:c r="E217" s="50" t="str">
        <x:v>拉丁美洲区域开发金融机构。</x:v>
      </x:c>
      <x:c r="F217" s="24" t="str">
        <x:v>["美洲开发银行", "IDB", "Inter-American Development Bank", "泛美开发银行"]</x:v>
      </x:c>
      <x:c r="G217" s="25" t="b">
        <x:v>0</x:v>
      </x:c>
      <x:c r="H217" s="24" t="str">
        <x:v>2026-09-21</x:v>
      </x:c>
      <x:c r="I217" s="28" t="str">
        <x:v>https://www.reuters.com/world/americas/venezuelan-delegation-led-by-rodriguez-discuss-debt-energy-us-sources-say-2026-09-21/</x:v>
      </x:c>
      <x:c r="J217" s="24" t="str">
        <x:v>主题相关性；不证明逐实体出现</x:v>
      </x:c>
      <x:c r="K217" s="24" t="str">
        <x:v>—</x:v>
      </x:c>
    </x:row>
    <x:row r="218" ht="29" customHeight="1">
      <x:c r="A218" s="24" t="str">
        <x:v>国际货币基金组织</x:v>
      </x:c>
      <x:c r="B218" s="24" t="str">
        <x:v>org</x:v>
      </x:c>
      <x:c r="C218" s="24" t="str">
        <x:v>委内瑞拉债务与石油重组</x:v>
      </x:c>
      <x:c r="D218" s="24" t="str">
        <x:v>sovereign_debt_energy</x:v>
      </x:c>
      <x:c r="E218" s="50" t="str">
        <x:v>宏观稳定与主权债务政策相关国际金融机构。</x:v>
      </x:c>
      <x:c r="F218" s="24" t="str">
        <x:v>["国际货币基金组织", "IMF", "International Monetary Fund", "国际货币基金"]</x:v>
      </x:c>
      <x:c r="G218" s="25" t="b">
        <x:v>0</x:v>
      </x:c>
      <x:c r="H218" s="24" t="str">
        <x:v>2026-09-21</x:v>
      </x:c>
      <x:c r="I218" s="28" t="str">
        <x:v>https://www.reuters.com/world/americas/venezuelan-delegation-led-by-rodriguez-discuss-debt-energy-us-sources-say-2026-09-21/</x:v>
      </x:c>
      <x:c r="J218" s="24" t="str">
        <x:v>主题相关性；不证明逐实体出现</x:v>
      </x:c>
      <x:c r="K218" s="24" t="str">
        <x:v>—</x:v>
      </x:c>
    </x:row>
    <x:row r="219" ht="29" customHeight="1">
      <x:c r="A219" s="24" t="str">
        <x:v>世界银行</x:v>
      </x:c>
      <x:c r="B219" s="24" t="str">
        <x:v>org</x:v>
      </x:c>
      <x:c r="C219" s="24" t="str">
        <x:v>委内瑞拉债务与石油重组</x:v>
      </x:c>
      <x:c r="D219" s="24" t="str">
        <x:v>sovereign_debt_energy</x:v>
      </x:c>
      <x:c r="E219" s="50" t="str">
        <x:v>提供开发融资与研究的国际金融机构。</x:v>
      </x:c>
      <x:c r="F219" s="24" t="str">
        <x:v>["世界银行", "World Bank", "WB", "世界银行集团"]</x:v>
      </x:c>
      <x:c r="G219" s="25" t="b">
        <x:v>0</x:v>
      </x:c>
      <x:c r="H219" s="24" t="str">
        <x:v>2026-09-21</x:v>
      </x:c>
      <x:c r="I219" s="28" t="str">
        <x:v>https://www.reuters.com/world/americas/venezuelan-delegation-led-by-rodriguez-discuss-debt-energy-us-sources-say-2026-09-21/</x:v>
      </x:c>
      <x:c r="J219" s="24" t="str">
        <x:v>主题相关性；不证明逐实体出现</x:v>
      </x:c>
      <x:c r="K219" s="24" t="str">
        <x:v>—</x:v>
      </x:c>
    </x:row>
    <x:row r="220" ht="29" customHeight="1">
      <x:c r="A220" s="24" t="str">
        <x:v>埃克森美孚</x:v>
      </x:c>
      <x:c r="B220" s="24" t="str">
        <x:v>org</x:v>
      </x:c>
      <x:c r="C220" s="24" t="str">
        <x:v>委内瑞拉债务与石油重组</x:v>
      </x:c>
      <x:c r="D220" s="24" t="str">
        <x:v>sovereign_debt_energy</x:v>
      </x:c>
      <x:c r="E220" s="50" t="str">
        <x:v>国际油气企业，涉及上游资源开发。</x:v>
      </x:c>
      <x:c r="F220" s="24" t="str">
        <x:v>["埃克森美孚", "ExxonMobil", "Exxon Mobil", "埃克森"]</x:v>
      </x:c>
      <x:c r="G220" s="25" t="b">
        <x:v>0</x:v>
      </x:c>
      <x:c r="H220" s="24" t="str">
        <x:v>2026-09-21</x:v>
      </x:c>
      <x:c r="I220" s="28" t="str">
        <x:v>https://www.reuters.com/world/americas/venezuelan-delegation-led-by-rodriguez-discuss-debt-energy-us-sources-say-2026-09-21/</x:v>
      </x:c>
      <x:c r="J220" s="24" t="str">
        <x:v>主题相关性；不证明逐实体出现</x:v>
      </x:c>
      <x:c r="K220" s="24" t="str">
        <x:v>—</x:v>
      </x:c>
    </x:row>
    <x:row r="221" ht="29" customHeight="1">
      <x:c r="A221" s="24" t="str">
        <x:v>委内瑞拉重油</x:v>
      </x:c>
      <x:c r="B221" s="24" t="str">
        <x:v>commodity</x:v>
      </x:c>
      <x:c r="C221" s="24" t="str">
        <x:v>委内瑞拉债务与石油重组</x:v>
      </x:c>
      <x:c r="D221" s="24" t="str">
        <x:v>sovereign_debt_energy</x:v>
      </x:c>
      <x:c r="E221" s="50" t="str">
        <x:v>委内瑞拉出口油种，受运费与炼厂需求约束。</x:v>
      </x:c>
      <x:c r="F221" s="24" t="str">
        <x:v>["委内瑞拉重油", "Venezuelan Heavy Crude", "委内瑞拉重质原油"]</x:v>
      </x:c>
      <x:c r="G221" s="25" t="b">
        <x:v>0</x:v>
      </x:c>
      <x:c r="H221" s="24" t="str">
        <x:v>2026-09-21</x:v>
      </x:c>
      <x:c r="I221" s="28" t="str">
        <x:v>https://www.reuters.com/world/americas/venezuelan-delegation-led-by-rodriguez-discuss-debt-energy-us-sources-say-2026-09-21/</x:v>
      </x:c>
      <x:c r="J221" s="24" t="str">
        <x:v>主题相关性；不证明逐实体出现</x:v>
      </x:c>
      <x:c r="K221" s="24" t="str">
        <x:v>—</x:v>
      </x:c>
    </x:row>
    <x:row r="222" ht="29" customHeight="1">
      <x:c r="A222" s="24" t="str">
        <x:v>委内瑞拉主权债</x:v>
      </x:c>
      <x:c r="B222" s="24" t="str">
        <x:v>asset</x:v>
      </x:c>
      <x:c r="C222" s="24" t="str">
        <x:v>委内瑞拉债务与石油重组</x:v>
      </x:c>
      <x:c r="D222" s="24" t="str">
        <x:v>sovereign_debt_energy</x:v>
      </x:c>
      <x:c r="E222" s="50" t="str">
        <x:v>主权债务重组和国际融资相关工具。</x:v>
      </x:c>
      <x:c r="F222" s="24" t="str">
        <x:v>["委内瑞拉主权债", "Venezuelan Sovereign Bonds", "委内瑞拉国债"]</x:v>
      </x:c>
      <x:c r="G222" s="25" t="b">
        <x:v>0</x:v>
      </x:c>
      <x:c r="H222" s="24" t="str">
        <x:v>2026-09-21</x:v>
      </x:c>
      <x:c r="I222" s="28" t="str">
        <x:v>https://www.reuters.com/world/americas/venezuelan-delegation-led-by-rodriguez-discuss-debt-energy-us-sources-say-2026-09-21/</x:v>
      </x:c>
      <x:c r="J222" s="24" t="str">
        <x:v>主题相关性；不证明逐实体出现</x:v>
      </x:c>
      <x:c r="K222" s="24" t="str">
        <x:v>—</x:v>
      </x:c>
    </x:row>
    <x:row r="223" ht="29" customHeight="1">
      <x:c r="A223" s="24" t="str">
        <x:v>阿富汗塔利班</x:v>
      </x:c>
      <x:c r="B223" s="24" t="str">
        <x:v>org</x:v>
      </x:c>
      <x:c r="C223" s="24" t="str">
        <x:v>南亚边境与地区安全</x:v>
      </x:c>
      <x:c r="D223" s="24" t="str">
        <x:v>border_insurgency</x:v>
      </x:c>
      <x:c r="E223" s="50" t="str">
        <x:v>阿富汗执政武装政治组织，涉及巴阿边境安全。</x:v>
      </x:c>
      <x:c r="F223" s="24" t="str">
        <x:v>["阿富汗塔利班", "Afghan Taliban", "Taliban", "阿富汗临时政府塔利班"]</x:v>
      </x:c>
      <x:c r="G223" s="25" t="b">
        <x:v>0</x:v>
      </x:c>
      <x:c r="H223" s="24" t="str">
        <x:v>2026-09-25</x:v>
      </x:c>
      <x:c r="I223" s="28" t="str">
        <x:v>https://www.internazionale.it/ultime-notizie-reuters/2026/09/25/explainer-what-has-turned-the-afghan-taliban-and-pakistan-from-partners-to-foes</x:v>
      </x:c>
      <x:c r="J223" s="24" t="str">
        <x:v>主题相关性；不证明逐实体出现</x:v>
      </x:c>
      <x:c r="K223" s="24" t="str">
        <x:v>—</x:v>
      </x:c>
    </x:row>
    <x:row r="224" ht="29" customHeight="1">
      <x:c r="A224" s="24" t="str">
        <x:v>巴基斯坦塔利班</x:v>
      </x:c>
      <x:c r="B224" s="24" t="str">
        <x:v>org</x:v>
      </x:c>
      <x:c r="C224" s="24" t="str">
        <x:v>南亚边境与地区安全</x:v>
      </x:c>
      <x:c r="D224" s="24" t="str">
        <x:v>border_insurgency</x:v>
      </x:c>
      <x:c r="E224" s="50" t="str">
        <x:v>在巴基斯坦活动的武装组织，与边境安全相关。</x:v>
      </x:c>
      <x:c r="F224" s="24" t="str">
        <x:v>["巴基斯坦塔利班", "TTP", "Tehrik-i-Taliban Pakistan", "巴塔"]</x:v>
      </x:c>
      <x:c r="G224" s="25" t="b">
        <x:v>0</x:v>
      </x:c>
      <x:c r="H224" s="24" t="str">
        <x:v>2026-09-25</x:v>
      </x:c>
      <x:c r="I224" s="28" t="str">
        <x:v>https://www.internazionale.it/ultime-notizie-reuters/2026/09/25/explainer-what-has-turned-the-afghan-taliban-and-pakistan-from-partners-to-foes</x:v>
      </x:c>
      <x:c r="J224" s="24" t="str">
        <x:v>主题相关性；不证明逐实体出现</x:v>
      </x:c>
      <x:c r="K224" s="24" t="str">
        <x:v>—</x:v>
      </x:c>
    </x:row>
    <x:row r="225" ht="29" customHeight="1">
      <x:c r="A225" s="24" t="str">
        <x:v>巴基斯坦武装部队</x:v>
      </x:c>
      <x:c r="B225" s="24" t="str">
        <x:v>org</x:v>
      </x:c>
      <x:c r="C225" s="24" t="str">
        <x:v>南亚边境与地区安全</x:v>
      </x:c>
      <x:c r="D225" s="24" t="str">
        <x:v>border_insurgency</x:v>
      </x:c>
      <x:c r="E225" s="50" t="str">
        <x:v>巴基斯坦军事力量，参与边境安全行动。</x:v>
      </x:c>
      <x:c r="F225" s="24" t="str">
        <x:v>["巴基斯坦武装部队", "Pakistan Armed Forces", "巴基斯坦军方"]</x:v>
      </x:c>
      <x:c r="G225" s="25" t="b">
        <x:v>0</x:v>
      </x:c>
      <x:c r="H225" s="24" t="str">
        <x:v>2026-09-25</x:v>
      </x:c>
      <x:c r="I225" s="28" t="str">
        <x:v>https://www.internazionale.it/ultime-notizie-reuters/2026/09/25/explainer-what-has-turned-the-afghan-taliban-and-pakistan-from-partners-to-foes</x:v>
      </x:c>
      <x:c r="J225" s="24" t="str">
        <x:v>主题相关性；不证明逐实体出现</x:v>
      </x:c>
      <x:c r="K225" s="24" t="str">
        <x:v>—</x:v>
      </x:c>
    </x:row>
    <x:row r="226" ht="29" customHeight="1">
      <x:c r="A226" s="24" t="str">
        <x:v>巴基斯坦政府</x:v>
      </x:c>
      <x:c r="B226" s="24" t="str">
        <x:v>org</x:v>
      </x:c>
      <x:c r="C226" s="24" t="str">
        <x:v>南亚边境与地区安全</x:v>
      </x:c>
      <x:c r="D226" s="24" t="str">
        <x:v>border_insurgency</x:v>
      </x:c>
      <x:c r="E226" s="50" t="str">
        <x:v>巴基斯坦国家行政机构，涉边境与金融政策。</x:v>
      </x:c>
      <x:c r="F226" s="24" t="str">
        <x:v>["巴基斯坦政府", "Government of Pakistan", "巴政府"]</x:v>
      </x:c>
      <x:c r="G226" s="25" t="b">
        <x:v>0</x:v>
      </x:c>
      <x:c r="H226" s="24" t="str">
        <x:v>2026-09-25</x:v>
      </x:c>
      <x:c r="I226" s="28" t="str">
        <x:v>https://www.internazionale.it/ultime-notizie-reuters/2026/09/25/explainer-what-has-turned-the-afghan-taliban-and-pakistan-from-partners-to-foes</x:v>
      </x:c>
      <x:c r="J226" s="24" t="str">
        <x:v>主题相关性；不证明逐实体出现</x:v>
      </x:c>
      <x:c r="K226" s="24" t="str">
        <x:v>—</x:v>
      </x:c>
    </x:row>
    <x:row r="227" ht="29" customHeight="1">
      <x:c r="A227" s="24" t="str">
        <x:v>杜兰线</x:v>
      </x:c>
      <x:c r="B227" s="24" t="str">
        <x:v>place</x:v>
      </x:c>
      <x:c r="C227" s="24" t="str">
        <x:v>南亚边境与地区安全</x:v>
      </x:c>
      <x:c r="D227" s="24" t="str">
        <x:v>border_insurgency</x:v>
      </x:c>
      <x:c r="E227" s="50" t="str">
        <x:v>阿富汗与巴基斯坦边界线的历史地理称谓。</x:v>
      </x:c>
      <x:c r="F227" s="24" t="str">
        <x:v>["杜兰线", "Durand Line", "阿巴边界"]</x:v>
      </x:c>
      <x:c r="G227" s="25" t="b">
        <x:v>0</x:v>
      </x:c>
      <x:c r="H227" s="24" t="str">
        <x:v>2026-09-25</x:v>
      </x:c>
      <x:c r="I227" s="28" t="str">
        <x:v>https://www.internazionale.it/ultime-notizie-reuters/2026/09/25/explainer-what-has-turned-the-afghan-taliban-and-pakistan-from-partners-to-foes</x:v>
      </x:c>
      <x:c r="J227" s="24" t="str">
        <x:v>主题相关性；不证明逐实体出现</x:v>
      </x:c>
      <x:c r="K227" s="24" t="str">
        <x:v>—</x:v>
      </x:c>
    </x:row>
    <x:row r="228" ht="29" customHeight="1">
      <x:c r="A228" s="24" t="str">
        <x:v>开伯尔山口</x:v>
      </x:c>
      <x:c r="B228" s="24" t="str">
        <x:v>place</x:v>
      </x:c>
      <x:c r="C228" s="24" t="str">
        <x:v>南亚边境与地区安全</x:v>
      </x:c>
      <x:c r="D228" s="24" t="str">
        <x:v>border_insurgency</x:v>
      </x:c>
      <x:c r="E228" s="50" t="str">
        <x:v>阿巴跨境贸易和交通的重要山口。</x:v>
      </x:c>
      <x:c r="F228" s="24" t="str">
        <x:v>["开伯尔山口", "Khyber Pass", "开伯尔隘口"]</x:v>
      </x:c>
      <x:c r="G228" s="25" t="b">
        <x:v>0</x:v>
      </x:c>
      <x:c r="H228" s="24" t="str">
        <x:v>2026-09-25</x:v>
      </x:c>
      <x:c r="I228" s="28" t="str">
        <x:v>https://www.internazionale.it/ultime-notizie-reuters/2026/09/25/explainer-what-has-turned-the-afghan-taliban-and-pakistan-from-partners-to-foes</x:v>
      </x:c>
      <x:c r="J228" s="24" t="str">
        <x:v>主题相关性；不证明逐实体出现</x:v>
      </x:c>
      <x:c r="K228" s="24" t="str">
        <x:v>—</x:v>
      </x:c>
    </x:row>
    <x:row r="229" ht="29" customHeight="1">
      <x:c r="A229" s="24" t="str">
        <x:v>联合国气候变化框架公约秘书处</x:v>
      </x:c>
      <x:c r="B229" s="24" t="str">
        <x:v>org</x:v>
      </x:c>
      <x:c r="C229" s="24" t="str">
        <x:v>COP31与气候资金</x:v>
      </x:c>
      <x:c r="D229" s="24" t="str">
        <x:v>climate_finance_electrification</x:v>
      </x:c>
      <x:c r="E229" s="50" t="str">
        <x:v>协调全球气候谈判与排放承诺的联合国体系。</x:v>
      </x:c>
      <x:c r="F229" s="24" t="str">
        <x:v>["联合国气候变化框架公约秘书处", "UNFCCC", "联合国气候变化框架公约"]</x:v>
      </x:c>
      <x:c r="G229" s="25" t="b">
        <x:v>0</x:v>
      </x:c>
      <x:c r="H229" s="24" t="str">
        <x:v>2026-10-07</x:v>
      </x:c>
      <x:c r="I229" s="28" t="str">
        <x:v>https://www.reuters.com/sustainability/cop/pacific-nations-insist-world-must-increase-efforts-meet-global-warming-limit-2026-10-07/</x:v>
      </x:c>
      <x:c r="J229" s="24" t="str">
        <x:v>主题相关性；不证明逐实体出现</x:v>
      </x:c>
      <x:c r="K229" s="24" t="str">
        <x:v>—</x:v>
      </x:c>
    </x:row>
    <x:row r="230" ht="29" customHeight="1">
      <x:c r="A230" s="24" t="str">
        <x:v>COP31气候大会</x:v>
      </x:c>
      <x:c r="B230" s="24" t="str">
        <x:v>concept</x:v>
      </x:c>
      <x:c r="C230" s="24" t="str">
        <x:v>COP31与气候资金</x:v>
      </x:c>
      <x:c r="D230" s="24" t="str">
        <x:v>climate_finance_electrification</x:v>
      </x:c>
      <x:c r="E230" s="50" t="str">
        <x:v>2026年气候谈判重要会议，涉及减排和气候融资。</x:v>
      </x:c>
      <x:c r="F230" s="24" t="str">
        <x:v>["COP31气候大会", "COP31", "第31届联合国气候大会"]</x:v>
      </x:c>
      <x:c r="G230" s="25" t="b">
        <x:v>0</x:v>
      </x:c>
      <x:c r="H230" s="24" t="str">
        <x:v>2026-10-07</x:v>
      </x:c>
      <x:c r="I230" s="28" t="str">
        <x:v>https://www.reuters.com/sustainability/cop/pacific-nations-insist-world-must-increase-efforts-meet-global-warming-limit-2026-10-07/</x:v>
      </x:c>
      <x:c r="J230" s="24" t="str">
        <x:v>主题相关性；不证明逐实体出现</x:v>
      </x:c>
      <x:c r="K230" s="24" t="str">
        <x:v>—</x:v>
      </x:c>
    </x:row>
    <x:row r="231" ht="29" customHeight="1">
      <x:c r="A231" s="24" t="str">
        <x:v>《巴黎协定》</x:v>
      </x:c>
      <x:c r="B231" s="24" t="str">
        <x:v>concept</x:v>
      </x:c>
      <x:c r="C231" s="24" t="str">
        <x:v>COP31与气候资金</x:v>
      </x:c>
      <x:c r="D231" s="24" t="str">
        <x:v>climate_finance_electrification</x:v>
      </x:c>
      <x:c r="E231" s="50" t="str">
        <x:v>全球温度控制及国家自主贡献框架。</x:v>
      </x:c>
      <x:c r="F231" s="24" t="str">
        <x:v>["《巴黎协定》", "Paris Agreement", "巴黎气候协定"]</x:v>
      </x:c>
      <x:c r="G231" s="25" t="b">
        <x:v>0</x:v>
      </x:c>
      <x:c r="H231" s="24" t="str">
        <x:v>2026-10-07</x:v>
      </x:c>
      <x:c r="I231" s="28" t="str">
        <x:v>https://www.reuters.com/sustainability/cop/pacific-nations-insist-world-must-increase-efforts-meet-global-warming-limit-2026-10-07/</x:v>
      </x:c>
      <x:c r="J231" s="24" t="str">
        <x:v>主题相关性；不证明逐实体出现</x:v>
      </x:c>
      <x:c r="K231" s="24" t="str">
        <x:v>—</x:v>
      </x:c>
    </x:row>
    <x:row r="232" ht="29" customHeight="1">
      <x:c r="A232" s="24" t="str">
        <x:v>气候融资</x:v>
      </x:c>
      <x:c r="B232" s="24" t="str">
        <x:v>concept</x:v>
      </x:c>
      <x:c r="C232" s="24" t="str">
        <x:v>COP31与气候资金</x:v>
      </x:c>
      <x:c r="D232" s="24" t="str">
        <x:v>climate_finance_electrification</x:v>
      </x:c>
      <x:c r="E232" s="50" t="str">
        <x:v>支持减缓排放、适应与损失损害项目的资金机制。</x:v>
      </x:c>
      <x:c r="F232" s="24" t="str">
        <x:v>["气候融资", "Climate Finance", "气候资金"]</x:v>
      </x:c>
      <x:c r="G232" s="25" t="b">
        <x:v>0</x:v>
      </x:c>
      <x:c r="H232" s="24" t="str">
        <x:v>2026-10-07</x:v>
      </x:c>
      <x:c r="I232" s="28" t="str">
        <x:v>https://www.reuters.com/sustainability/cop/pacific-nations-insist-world-must-increase-efforts-meet-global-warming-limit-2026-10-07/</x:v>
      </x:c>
      <x:c r="J232" s="24" t="str">
        <x:v>主题相关性；不证明逐实体出现</x:v>
      </x:c>
      <x:c r="K232" s="24" t="str">
        <x:v>—</x:v>
      </x:c>
    </x:row>
    <x:row r="233" ht="29" customHeight="1">
      <x:c r="A233" s="24" t="str">
        <x:v>土耳其环境、城市化和气候变化部</x:v>
      </x:c>
      <x:c r="B233" s="24" t="str">
        <x:v>org</x:v>
      </x:c>
      <x:c r="C233" s="24" t="str">
        <x:v>COP31与气候资金</x:v>
      </x:c>
      <x:c r="D233" s="24" t="str">
        <x:v>climate_finance_electrification</x:v>
      </x:c>
      <x:c r="E233" s="50" t="str">
        <x:v>土耳其气候政策与COP31相关行政部门。</x:v>
      </x:c>
      <x:c r="F233" s="24" t="str">
        <x:v>["土耳其环境、城市化和气候变化部", "Turkey Ministry of Environment", "土耳其环境部"]</x:v>
      </x:c>
      <x:c r="G233" s="25" t="b">
        <x:v>0</x:v>
      </x:c>
      <x:c r="H233" s="24" t="str">
        <x:v>2026-10-07</x:v>
      </x:c>
      <x:c r="I233" s="28" t="str">
        <x:v>https://www.reuters.com/sustainability/cop/pacific-nations-insist-world-must-increase-efforts-meet-global-warming-limit-2026-10-07/</x:v>
      </x:c>
      <x:c r="J233" s="24" t="str">
        <x:v>主题相关性；不证明逐实体出现</x:v>
      </x:c>
      <x:c r="K233" s="24" t="str">
        <x:v>—</x:v>
      </x:c>
    </x:row>
    <x:row r="234" ht="29" customHeight="1">
      <x:c r="A234" s="24" t="str">
        <x:v>穆拉特·库鲁姆</x:v>
      </x:c>
      <x:c r="B234" s="24" t="str">
        <x:v>person</x:v>
      </x:c>
      <x:c r="C234" s="24" t="str">
        <x:v>COP31与气候资金</x:v>
      </x:c>
      <x:c r="D234" s="24" t="str">
        <x:v>climate_finance_electrification</x:v>
      </x:c>
      <x:c r="E234" s="50" t="str">
        <x:v>土耳其政治人物，参与COP31筹备与谈判。</x:v>
      </x:c>
      <x:c r="F234" s="24" t="str">
        <x:v>["穆拉特·库鲁姆", "Murat Kurum", "土耳其环境部长库鲁姆"]</x:v>
      </x:c>
      <x:c r="G234" s="25" t="b">
        <x:v>0</x:v>
      </x:c>
      <x:c r="H234" s="24" t="str">
        <x:v>2026-10-07</x:v>
      </x:c>
      <x:c r="I234" s="28" t="str">
        <x:v>https://www.reuters.com/sustainability/cop/pacific-nations-insist-world-must-increase-efforts-meet-global-warming-limit-2026-10-07/</x:v>
      </x:c>
      <x:c r="J234" s="24" t="str">
        <x:v>主题相关性；不证明逐实体出现</x:v>
      </x:c>
      <x:c r="K234" s="24" t="str">
        <x:v>—</x:v>
      </x:c>
    </x:row>
    <x:row r="235" ht="29" customHeight="1">
      <x:c r="A235" s="24" t="str">
        <x:v>斐济</x:v>
      </x:c>
      <x:c r="B235" s="24" t="str">
        <x:v>place</x:v>
      </x:c>
      <x:c r="C235" s="24" t="str">
        <x:v>COP31与气候资金</x:v>
      </x:c>
      <x:c r="D235" s="24" t="str">
        <x:v>climate_finance_electrification</x:v>
      </x:c>
      <x:c r="E235" s="50" t="str">
        <x:v>太平洋岛国，气候谈判及海平面风险重要参与者。</x:v>
      </x:c>
      <x:c r="F235" s="24" t="str">
        <x:v>["斐济", "Fiji", "斐济共和国"]</x:v>
      </x:c>
      <x:c r="G235" s="25" t="b">
        <x:v>0</x:v>
      </x:c>
      <x:c r="H235" s="24" t="str">
        <x:v>2026-10-07</x:v>
      </x:c>
      <x:c r="I235" s="28" t="str">
        <x:v>https://www.reuters.com/sustainability/cop/pacific-nations-insist-world-must-increase-efforts-meet-global-warming-limit-2026-10-07/</x:v>
      </x:c>
      <x:c r="J235" s="24" t="str">
        <x:v>主题相关性；不证明逐实体出现</x:v>
      </x:c>
      <x:c r="K235" s="24" t="str">
        <x:v>—</x:v>
      </x:c>
    </x:row>
    <x:row r="236" ht="29" customHeight="1">
      <x:c r="A236" s="24" t="str">
        <x:v>图瓦卢</x:v>
      </x:c>
      <x:c r="B236" s="24" t="str">
        <x:v>place</x:v>
      </x:c>
      <x:c r="C236" s="24" t="str">
        <x:v>COP31与气候资金</x:v>
      </x:c>
      <x:c r="D236" s="24" t="str">
        <x:v>climate_finance_electrification</x:v>
      </x:c>
      <x:c r="E236" s="50" t="str">
        <x:v>低海拔太平洋岛国，海平面上升议题代表性地区。</x:v>
      </x:c>
      <x:c r="F236" s="24" t="str">
        <x:v>["图瓦卢", "Tuvalu", "图瓦卢国"]</x:v>
      </x:c>
      <x:c r="G236" s="25" t="b">
        <x:v>0</x:v>
      </x:c>
      <x:c r="H236" s="24" t="str">
        <x:v>2026-10-07</x:v>
      </x:c>
      <x:c r="I236" s="28" t="str">
        <x:v>https://www.reuters.com/sustainability/cop/pacific-nations-insist-world-must-increase-efforts-meet-global-warming-limit-2026-10-07/</x:v>
      </x:c>
      <x:c r="J236" s="24" t="str">
        <x:v>主题相关性；不证明逐实体出现</x:v>
      </x:c>
      <x:c r="K236" s="24" t="str">
        <x:v>—</x:v>
      </x:c>
    </x:row>
    <x:row r="237" ht="29" customHeight="1">
      <x:c r="A237" s="24" t="str">
        <x:v>安塔利亚</x:v>
      </x:c>
      <x:c r="B237" s="24" t="str">
        <x:v>place</x:v>
      </x:c>
      <x:c r="C237" s="24" t="str">
        <x:v>COP31与气候资金</x:v>
      </x:c>
      <x:c r="D237" s="24" t="str">
        <x:v>climate_finance_electrification</x:v>
      </x:c>
      <x:c r="E237" s="50" t="str">
        <x:v>土耳其城市，COP31会议举办地。</x:v>
      </x:c>
      <x:c r="F237" s="24" t="str">
        <x:v>["安塔利亚", "Antalya", "土耳其安塔利亚"]</x:v>
      </x:c>
      <x:c r="G237" s="25" t="b">
        <x:v>0</x:v>
      </x:c>
      <x:c r="H237" s="24" t="str">
        <x:v>2026-10-07</x:v>
      </x:c>
      <x:c r="I237" s="28" t="str">
        <x:v>https://www.reuters.com/sustainability/cop/pacific-nations-insist-world-must-increase-efforts-meet-global-warming-limit-2026-10-07/</x:v>
      </x:c>
      <x:c r="J237" s="24" t="str">
        <x:v>主题相关性；不证明逐实体出现</x:v>
      </x:c>
      <x:c r="K237" s="24" t="str">
        <x:v>—</x:v>
      </x:c>
    </x:row>
    <x:row r="238" ht="29" customHeight="1">
      <x:c r="A238" s="24" t="str">
        <x:v>国际海事组织</x:v>
      </x:c>
      <x:c r="B238" s="24" t="str">
        <x:v>org</x:v>
      </x:c>
      <x:c r="C238" s="24" t="str">
        <x:v>COP31与气候资金</x:v>
      </x:c>
      <x:c r="D238" s="24" t="str">
        <x:v>climate_finance_electrification</x:v>
      </x:c>
      <x:c r="E238" s="50" t="str">
        <x:v>负责全球航运安全和环境规则的联合国专门机构。</x:v>
      </x:c>
      <x:c r="F238" s="24" t="str">
        <x:v>["国际海事组织", "IMO", "International Maritime Organization"]</x:v>
      </x:c>
      <x:c r="G238" s="25" t="b">
        <x:v>0</x:v>
      </x:c>
      <x:c r="H238" s="24" t="str">
        <x:v>2026-10-07</x:v>
      </x:c>
      <x:c r="I238" s="28" t="str">
        <x:v>https://www.reuters.com/sustainability/cop/pacific-nations-insist-world-must-increase-efforts-meet-global-warming-limit-2026-10-07/</x:v>
      </x:c>
      <x:c r="J238" s="24" t="str">
        <x:v>主题相关性；不证明逐实体出现</x:v>
      </x:c>
      <x:c r="K238" s="24" t="str">
        <x:v>—</x:v>
      </x:c>
    </x:row>
    <x:row r="239" ht="29" customHeight="1">
      <x:c r="A239" s="24" t="str">
        <x:v>联合国粮食及农业组织</x:v>
      </x:c>
      <x:c r="B239" s="24" t="str">
        <x:v>org</x:v>
      </x:c>
      <x:c r="C239" s="24" t="str">
        <x:v>粮食气候与价格冲击</x:v>
      </x:c>
      <x:c r="D239" s="24" t="str">
        <x:v>food_weather_supply</x:v>
      </x:c>
      <x:c r="E239" s="50" t="str">
        <x:v>联合国粮食农业政策和价格监测机构。</x:v>
      </x:c>
      <x:c r="F239" s="24" t="str">
        <x:v>["联合国粮食及农业组织", "FAO", "Food and Agriculture Organization", "联合国粮农组织"]</x:v>
      </x:c>
      <x:c r="G239" s="25" t="b">
        <x:v>0</x:v>
      </x:c>
      <x:c r="H239" s="24" t="str">
        <x:v>2026-10-02</x:v>
      </x:c>
      <x:c r="I239" s="28" t="str">
        <x:v>https://www.reuters.com/markets/us/world-food-prices-near-four-year-high-september-un-says-2026-10-02/</x:v>
      </x:c>
      <x:c r="J239" s="24" t="str">
        <x:v>主题相关性；不证明逐实体出现</x:v>
      </x:c>
      <x:c r="K239" s="24" t="str">
        <x:v>—</x:v>
      </x:c>
    </x:row>
    <x:row r="240" ht="29" customHeight="1">
      <x:c r="A240" s="24" t="str">
        <x:v>FAO食品价格指数</x:v>
      </x:c>
      <x:c r="B240" s="24" t="str">
        <x:v>asset</x:v>
      </x:c>
      <x:c r="C240" s="24" t="str">
        <x:v>粮食气候与价格冲击</x:v>
      </x:c>
      <x:c r="D240" s="24" t="str">
        <x:v>food_weather_supply</x:v>
      </x:c>
      <x:c r="E240" s="50" t="str">
        <x:v>跟踪多种国际食品价格变化的指标。</x:v>
      </x:c>
      <x:c r="F240" s="24" t="str">
        <x:v>["FAO食品价格指数", "FAO Food Price Index", "粮农组织食品价格指数"]</x:v>
      </x:c>
      <x:c r="G240" s="25" t="b">
        <x:v>0</x:v>
      </x:c>
      <x:c r="H240" s="24" t="str">
        <x:v>2026-10-02</x:v>
      </x:c>
      <x:c r="I240" s="28" t="str">
        <x:v>https://www.reuters.com/markets/us/world-food-prices-near-four-year-high-september-un-says-2026-10-02/</x:v>
      </x:c>
      <x:c r="J240" s="24" t="str">
        <x:v>主题相关性；不证明逐实体出现</x:v>
      </x:c>
      <x:c r="K240" s="24" t="str">
        <x:v>—</x:v>
      </x:c>
    </x:row>
    <x:row r="241" ht="29" customHeight="1">
      <x:c r="A241" s="24" t="str">
        <x:v>厄尔尼诺现象</x:v>
      </x:c>
      <x:c r="B241" s="24" t="str">
        <x:v>concept</x:v>
      </x:c>
      <x:c r="C241" s="24" t="str">
        <x:v>粮食气候与价格冲击</x:v>
      </x:c>
      <x:c r="D241" s="24" t="str">
        <x:v>food_weather_supply</x:v>
      </x:c>
      <x:c r="E241" s="50" t="str">
        <x:v>太平洋海气系统气候现象，影响全球农业气象。</x:v>
      </x:c>
      <x:c r="F241" s="24" t="str">
        <x:v>["厄尔尼诺现象", "El Niño", "El Nino", "厄尔尼诺"]</x:v>
      </x:c>
      <x:c r="G241" s="25" t="b">
        <x:v>0</x:v>
      </x:c>
      <x:c r="H241" s="24" t="str">
        <x:v>2026-10-02</x:v>
      </x:c>
      <x:c r="I241" s="28" t="str">
        <x:v>https://www.reuters.com/markets/us/world-food-prices-near-four-year-high-september-un-says-2026-10-02/</x:v>
      </x:c>
      <x:c r="J241" s="24" t="str">
        <x:v>主题相关性；不证明逐实体出现</x:v>
      </x:c>
      <x:c r="K241" s="24" t="str">
        <x:v>—</x:v>
      </x:c>
    </x:row>
    <x:row r="242" ht="29" customHeight="1">
      <x:c r="A242" s="24" t="str">
        <x:v>全球小麦</x:v>
      </x:c>
      <x:c r="B242" s="24" t="str">
        <x:v>commodity</x:v>
      </x:c>
      <x:c r="C242" s="24" t="str">
        <x:v>粮食气候与价格冲击</x:v>
      </x:c>
      <x:c r="D242" s="24" t="str">
        <x:v>food_weather_supply</x:v>
      </x:c>
      <x:c r="E242" s="50" t="str">
        <x:v>国际主要谷物，受黑海贸易和天气条件影响。</x:v>
      </x:c>
      <x:c r="F242" s="24" t="str">
        <x:v>["全球小麦", "Wheat", "小麦期货", "小麦"]</x:v>
      </x:c>
      <x:c r="G242" s="25" t="b">
        <x:v>0</x:v>
      </x:c>
      <x:c r="H242" s="24" t="str">
        <x:v>2026-10-02</x:v>
      </x:c>
      <x:c r="I242" s="28" t="str">
        <x:v>https://www.reuters.com/markets/us/world-food-prices-near-four-year-high-september-un-says-2026-10-02/</x:v>
      </x:c>
      <x:c r="J242" s="24" t="str">
        <x:v>主题相关性；不证明逐实体出现</x:v>
      </x:c>
      <x:c r="K242" s="24" t="str">
        <x:v>—</x:v>
      </x:c>
    </x:row>
    <x:row r="243" ht="29" customHeight="1">
      <x:c r="A243" s="24" t="str">
        <x:v>全球玉米</x:v>
      </x:c>
      <x:c r="B243" s="24" t="str">
        <x:v>commodity</x:v>
      </x:c>
      <x:c r="C243" s="24" t="str">
        <x:v>粮食气候与价格冲击</x:v>
      </x:c>
      <x:c r="D243" s="24" t="str">
        <x:v>food_weather_supply</x:v>
      </x:c>
      <x:c r="E243" s="50" t="str">
        <x:v>国际谷物及饲料商品，受气候及生物燃料需求影响。</x:v>
      </x:c>
      <x:c r="F243" s="24" t="str">
        <x:v>["全球玉米", "Corn", "Maize", "玉米"]</x:v>
      </x:c>
      <x:c r="G243" s="25" t="b">
        <x:v>0</x:v>
      </x:c>
      <x:c r="H243" s="24" t="str">
        <x:v>2026-10-02</x:v>
      </x:c>
      <x:c r="I243" s="28" t="str">
        <x:v>https://www.reuters.com/markets/us/world-food-prices-near-four-year-high-september-un-says-2026-10-02/</x:v>
      </x:c>
      <x:c r="J243" s="24" t="str">
        <x:v>主题相关性；不证明逐实体出现</x:v>
      </x:c>
      <x:c r="K243" s="24" t="str">
        <x:v>—</x:v>
      </x:c>
    </x:row>
    <x:row r="244" ht="29" customHeight="1">
      <x:c r="A244" s="24" t="str">
        <x:v>原糖</x:v>
      </x:c>
      <x:c r="B244" s="24" t="str">
        <x:v>commodity</x:v>
      </x:c>
      <x:c r="C244" s="24" t="str">
        <x:v>粮食气候与价格冲击</x:v>
      </x:c>
      <x:c r="D244" s="24" t="str">
        <x:v>food_weather_supply</x:v>
      </x:c>
      <x:c r="E244" s="50" t="str">
        <x:v>国际糖贸易与期货相关商品。</x:v>
      </x:c>
      <x:c r="F244" s="24" t="str">
        <x:v>["原糖", "Raw Sugar", "ICE Sugar No.11", "国际糖价"]</x:v>
      </x:c>
      <x:c r="G244" s="25" t="b">
        <x:v>0</x:v>
      </x:c>
      <x:c r="H244" s="24" t="str">
        <x:v>2026-10-02</x:v>
      </x:c>
      <x:c r="I244" s="28" t="str">
        <x:v>https://www.reuters.com/markets/us/world-food-prices-near-four-year-high-september-un-says-2026-10-02/</x:v>
      </x:c>
      <x:c r="J244" s="24" t="str">
        <x:v>主题相关性；不证明逐实体出现</x:v>
      </x:c>
      <x:c r="K244" s="24" t="str">
        <x:v>—</x:v>
      </x:c>
    </x:row>
    <x:row r="245" ht="29" customHeight="1">
      <x:c r="A245" s="24" t="str">
        <x:v>棕榈油</x:v>
      </x:c>
      <x:c r="B245" s="24" t="str">
        <x:v>commodity</x:v>
      </x:c>
      <x:c r="C245" s="24" t="str">
        <x:v>粮食气候与价格冲击</x:v>
      </x:c>
      <x:c r="D245" s="24" t="str">
        <x:v>food_weather_supply</x:v>
      </x:c>
      <x:c r="E245" s="50" t="str">
        <x:v>国际食用植物油商品，受天气与能源需求影响。</x:v>
      </x:c>
      <x:c r="F245" s="24" t="str">
        <x:v>["棕榈油", "Palm Oil", "棕榈油期货"]</x:v>
      </x:c>
      <x:c r="G245" s="25" t="b">
        <x:v>0</x:v>
      </x:c>
      <x:c r="H245" s="24" t="str">
        <x:v>2026-10-02</x:v>
      </x:c>
      <x:c r="I245" s="28" t="str">
        <x:v>https://www.reuters.com/markets/us/world-food-prices-near-four-year-high-september-un-says-2026-10-02/</x:v>
      </x:c>
      <x:c r="J245" s="24" t="str">
        <x:v>主题相关性；不证明逐实体出现</x:v>
      </x:c>
      <x:c r="K245" s="24" t="str">
        <x:v>—</x:v>
      </x:c>
    </x:row>
    <x:row r="246" ht="29" customHeight="1">
      <x:c r="A246" s="24" t="str">
        <x:v>黑海粮食运输</x:v>
      </x:c>
      <x:c r="B246" s="24" t="str">
        <x:v>concept</x:v>
      </x:c>
      <x:c r="C246" s="24" t="str">
        <x:v>粮食气候与价格冲击</x:v>
      </x:c>
      <x:c r="D246" s="24" t="str">
        <x:v>food_weather_supply</x:v>
      </x:c>
      <x:c r="E246" s="50" t="str">
        <x:v>黑海航线粮食出口及物流风险机制。</x:v>
      </x:c>
      <x:c r="F246" s="24" t="str">
        <x:v>["黑海粮食运输", "Black Sea Grain Shipping", "黑海谷物运输"]</x:v>
      </x:c>
      <x:c r="G246" s="25" t="b">
        <x:v>0</x:v>
      </x:c>
      <x:c r="H246" s="24" t="str">
        <x:v>2026-10-02</x:v>
      </x:c>
      <x:c r="I246" s="28" t="str">
        <x:v>https://www.reuters.com/markets/us/world-food-prices-near-four-year-high-september-un-says-2026-10-02/</x:v>
      </x:c>
      <x:c r="J246" s="24" t="str">
        <x:v>主题相关性；不证明逐实体出现</x:v>
      </x:c>
      <x:c r="K246" s="24" t="str">
        <x:v>—</x:v>
      </x:c>
    </x:row>
    <x:row r="247" ht="29" customHeight="1">
      <x:c r="A247" s="24" t="str">
        <x:v>西蒙飓风</x:v>
      </x:c>
      <x:c r="B247" s="24" t="str">
        <x:v>concept</x:v>
      </x:c>
      <x:c r="C247" s="24" t="str">
        <x:v>极端天气与保险损失</x:v>
      </x:c>
      <x:c r="D247" s="24" t="str">
        <x:v>catastrophe_insurance</x:v>
      </x:c>
      <x:c r="E247" s="50" t="str">
        <x:v>2026年报道的墨西哥太平洋岸热带气旋灾害。</x:v>
      </x:c>
      <x:c r="F247" s="24" t="str">
        <x:v>["西蒙飓风", "Hurricane Simon", "2026年西蒙飓风"]</x:v>
      </x:c>
      <x:c r="G247" s="25" t="b">
        <x:v>0</x:v>
      </x:c>
      <x:c r="H247" s="24" t="str">
        <x:v>2026-10-12</x:v>
      </x:c>
      <x:c r="I247" s="28" t="str">
        <x:v>https://www.reuters.com/business/environment/hurricane-simon-crawls-along-mexicos-pacific-coast-bringing-floods-evacuations-2026-10-12/</x:v>
      </x:c>
      <x:c r="J247" s="24" t="str">
        <x:v>主题相关性；不证明逐实体出现</x:v>
      </x:c>
      <x:c r="K247" s="24" t="str">
        <x:v>—</x:v>
      </x:c>
    </x:row>
    <x:row r="248" ht="29" customHeight="1">
      <x:c r="A248" s="24" t="str">
        <x:v>墨西哥太平洋沿岸</x:v>
      </x:c>
      <x:c r="B248" s="24" t="str">
        <x:v>place</x:v>
      </x:c>
      <x:c r="C248" s="24" t="str">
        <x:v>极端天气与保险损失</x:v>
      </x:c>
      <x:c r="D248" s="24" t="str">
        <x:v>catastrophe_insurance</x:v>
      </x:c>
      <x:c r="E248" s="50" t="str">
        <x:v>飓风登陆与港口物流易受冲击的沿海地区。</x:v>
      </x:c>
      <x:c r="F248" s="24" t="str">
        <x:v>["墨西哥太平洋沿岸", "Mexico Pacific Coast", "墨西哥西岸"]</x:v>
      </x:c>
      <x:c r="G248" s="25" t="b">
        <x:v>0</x:v>
      </x:c>
      <x:c r="H248" s="24" t="str">
        <x:v>2026-10-12</x:v>
      </x:c>
      <x:c r="I248" s="28" t="str">
        <x:v>https://www.reuters.com/business/environment/hurricane-simon-crawls-along-mexicos-pacific-coast-bringing-floods-evacuations-2026-10-12/</x:v>
      </x:c>
      <x:c r="J248" s="24" t="str">
        <x:v>主题相关性；不证明逐实体出现</x:v>
      </x:c>
      <x:c r="K248" s="24" t="str">
        <x:v>—</x:v>
      </x:c>
    </x:row>
    <x:row r="249" ht="29" customHeight="1">
      <x:c r="A249" s="24" t="str">
        <x:v>曼萨尼约港</x:v>
      </x:c>
      <x:c r="B249" s="24" t="str">
        <x:v>place</x:v>
      </x:c>
      <x:c r="C249" s="24" t="str">
        <x:v>极端天气与保险损失</x:v>
      </x:c>
      <x:c r="D249" s="24" t="str">
        <x:v>catastrophe_insurance</x:v>
      </x:c>
      <x:c r="E249" s="50" t="str">
        <x:v>墨西哥太平洋岸重要集装箱港口。</x:v>
      </x:c>
      <x:c r="F249" s="24" t="str">
        <x:v>["曼萨尼约港", "Port of Manzanillo", "Manzanillo Mexico", "墨西哥曼萨尼约港"]</x:v>
      </x:c>
      <x:c r="G249" s="25" t="b">
        <x:v>0</x:v>
      </x:c>
      <x:c r="H249" s="24" t="str">
        <x:v>2026-10-12</x:v>
      </x:c>
      <x:c r="I249" s="28" t="str">
        <x:v>https://www.reuters.com/business/environment/hurricane-simon-crawls-along-mexicos-pacific-coast-bringing-floods-evacuations-2026-10-12/</x:v>
      </x:c>
      <x:c r="J249" s="24" t="str">
        <x:v>主题相关性；不证明逐实体出现</x:v>
      </x:c>
      <x:c r="K249" s="24" t="str">
        <x:v>—</x:v>
      </x:c>
    </x:row>
    <x:row r="250" ht="29" customHeight="1">
      <x:c r="A250" s="24" t="str">
        <x:v>巨灾保险</x:v>
      </x:c>
      <x:c r="B250" s="24" t="str">
        <x:v>concept</x:v>
      </x:c>
      <x:c r="C250" s="24" t="str">
        <x:v>极端天气与保险损失</x:v>
      </x:c>
      <x:c r="D250" s="24" t="str">
        <x:v>catastrophe_insurance</x:v>
      </x:c>
      <x:c r="E250" s="50" t="str">
        <x:v>用于分担飓风洪水等自然灾害损失的保险机制。</x:v>
      </x:c>
      <x:c r="F250" s="24" t="str">
        <x:v>["巨灾保险", "Catastrophe Insurance", "灾害保险"]</x:v>
      </x:c>
      <x:c r="G250" s="25" t="b">
        <x:v>0</x:v>
      </x:c>
      <x:c r="H250" s="24" t="str">
        <x:v>2026-10-12</x:v>
      </x:c>
      <x:c r="I250" s="28" t="str">
        <x:v>https://www.reuters.com/business/environment/hurricane-simon-crawls-along-mexicos-pacific-coast-bringing-floods-evacuations-2026-10-12/</x:v>
      </x:c>
      <x:c r="J250" s="24" t="str">
        <x:v>主题相关性；不证明逐实体出现</x:v>
      </x:c>
      <x:c r="K250" s="24" t="str">
        <x:v>—</x:v>
      </x:c>
    </x:row>
    <x:row r="251" ht="29" customHeight="1">
      <x:c r="A251" s="24" t="str">
        <x:v>再保险市场</x:v>
      </x:c>
      <x:c r="B251" s="24" t="str">
        <x:v>concept</x:v>
      </x:c>
      <x:c r="C251" s="24" t="str">
        <x:v>极端天气与保险损失</x:v>
      </x:c>
      <x:c r="D251" s="24" t="str">
        <x:v>catastrophe_insurance</x:v>
      </x:c>
      <x:c r="E251" s="50" t="str">
        <x:v>保险机构之间转移承保风险的市场。</x:v>
      </x:c>
      <x:c r="F251" s="24" t="str">
        <x:v>["再保险市场", "Reinsurance Market", "再保险"]</x:v>
      </x:c>
      <x:c r="G251" s="25" t="b">
        <x:v>0</x:v>
      </x:c>
      <x:c r="H251" s="24" t="str">
        <x:v>2026-10-12</x:v>
      </x:c>
      <x:c r="I251" s="28" t="str">
        <x:v>https://www.reuters.com/business/environment/hurricane-simon-crawls-along-mexicos-pacific-coast-bringing-floods-evacuations-2026-10-12/</x:v>
      </x:c>
      <x:c r="J251" s="24" t="str">
        <x:v>主题相关性；不证明逐实体出现</x:v>
      </x:c>
      <x:c r="K251" s="24" t="str">
        <x:v>—</x:v>
      </x:c>
    </x:row>
    <x:row r="252" ht="29" customHeight="1">
      <x:c r="A252" s="24" t="str">
        <x:v>美国</x:v>
      </x:c>
      <x:c r="B252" s="24" t="str">
        <x:v>place</x:v>
      </x:c>
      <x:c r="C252" s="24" t="str">
        <x:v>泛化实体审计</x:v>
      </x:c>
      <x:c r="D252" s="24" t="str">
        <x:v>generic_exclusion</x:v>
      </x:c>
      <x:c r="E252" s="50" t="str">
        <x:v>跨大量主题出现的国家名，按项目既有规则排除实体Jaccard。</x:v>
      </x:c>
      <x:c r="F252" s="24" t="str">
        <x:v>["美国", "United States", "USA", "U.S.", "美利坚合众国"]</x:v>
      </x:c>
      <x:c r="G252" s="25" t="b">
        <x:v>1</x:v>
      </x:c>
      <x:c r="H252" s="24" t="str">
        <x:v>2026-10-01</x:v>
      </x:c>
      <x:c r="I252" s="28" t="str">
        <x:v>https://ca.marketscreener.com/news/us-slows-aircraft-part-exports-to-china-as-trump-seeks-leverage-in-trade-negotiations-sources-say-ce785ad3de89f421</x:v>
      </x:c>
      <x:c r="J252" s="24" t="str">
        <x:v>主题相关性；不证明逐实体出现</x:v>
      </x:c>
      <x:c r="K252" s="24" t="str">
        <x:v>—</x:v>
      </x:c>
    </x:row>
    <x:row r="253" ht="29" customHeight="1">
      <x:c r="A253" s="24" t="str">
        <x:v>中国</x:v>
      </x:c>
      <x:c r="B253" s="24" t="str">
        <x:v>place</x:v>
      </x:c>
      <x:c r="C253" s="24" t="str">
        <x:v>泛化实体审计</x:v>
      </x:c>
      <x:c r="D253" s="24" t="str">
        <x:v>generic_exclusion</x:v>
      </x:c>
      <x:c r="E253" s="50" t="str">
        <x:v>跨大量主题出现的国家名，按项目既有规则排除实体Jaccard。</x:v>
      </x:c>
      <x:c r="F253" s="24" t="str">
        <x:v>["中国", "China", "PRC", "中华人民共和国"]</x:v>
      </x:c>
      <x:c r="G253" s="25" t="b">
        <x:v>1</x:v>
      </x:c>
      <x:c r="H253" s="24" t="str">
        <x:v>2026-10-01</x:v>
      </x:c>
      <x:c r="I253" s="28" t="str">
        <x:v>https://ca.marketscreener.com/news/us-slows-aircraft-part-exports-to-china-as-trump-seeks-leverage-in-trade-negotiations-sources-say-ce785ad3de89f421</x:v>
      </x:c>
      <x:c r="J253" s="24" t="str">
        <x:v>主题相关性；不证明逐实体出现</x:v>
      </x:c>
      <x:c r="K253" s="24" t="str">
        <x:v>—</x:v>
      </x:c>
    </x:row>
    <x:row r="254" ht="29" customHeight="1">
      <x:c r="A254" s="24" t="str">
        <x:v>欧洲</x:v>
      </x:c>
      <x:c r="B254" s="24" t="str">
        <x:v>place</x:v>
      </x:c>
      <x:c r="C254" s="24" t="str">
        <x:v>泛化实体审计</x:v>
      </x:c>
      <x:c r="D254" s="24" t="str">
        <x:v>generic_exclusion</x:v>
      </x:c>
      <x:c r="E254" s="50" t="str">
        <x:v>跨大量主题出现的地理泛称，按项目既有规则排除实体Jaccard。</x:v>
      </x:c>
      <x:c r="F254" s="24" t="str">
        <x:v>["欧洲", "Europe"]</x:v>
      </x:c>
      <x:c r="G254" s="25" t="b">
        <x:v>1</x:v>
      </x:c>
      <x:c r="H254" s="24" t="str">
        <x:v>2026-10-01</x:v>
      </x:c>
      <x:c r="I254" s="28" t="str">
        <x:v>https://ca.marketscreener.com/news/us-slows-aircraft-part-exports-to-china-as-trump-seeks-leverage-in-trade-negotiations-sources-say-ce785ad3de89f421</x:v>
      </x:c>
      <x:c r="J254" s="24" t="str">
        <x:v>主题相关性；不证明逐实体出现</x:v>
      </x:c>
      <x:c r="K254" s="24" t="str">
        <x:v>—</x:v>
      </x:c>
    </x:row>
    <x:row r="255" ht="29" customHeight="1">
      <x:c r="A255" s="24" t="str">
        <x:v>日本</x:v>
      </x:c>
      <x:c r="B255" s="24" t="str">
        <x:v>place</x:v>
      </x:c>
      <x:c r="C255" s="24" t="str">
        <x:v>泛化实体审计</x:v>
      </x:c>
      <x:c r="D255" s="24" t="str">
        <x:v>generic_exclusion</x:v>
      </x:c>
      <x:c r="E255" s="50" t="str">
        <x:v>跨大量主题出现的国家名，按项目既有规则排除实体Jaccard。</x:v>
      </x:c>
      <x:c r="F255" s="24" t="str">
        <x:v>["日本", "Japan"]</x:v>
      </x:c>
      <x:c r="G255" s="25" t="b">
        <x:v>1</x:v>
      </x:c>
      <x:c r="H255" s="24" t="str">
        <x:v>2026-10-01</x:v>
      </x:c>
      <x:c r="I255" s="28" t="str">
        <x:v>https://ca.marketscreener.com/news/us-slows-aircraft-part-exports-to-china-as-trump-seeks-leverage-in-trade-negotiations-sources-say-ce785ad3de89f421</x:v>
      </x:c>
      <x:c r="J255" s="24" t="str">
        <x:v>主题相关性；不证明逐实体出现</x:v>
      </x:c>
      <x:c r="K255" s="24" t="str">
        <x:v>—</x:v>
      </x:c>
    </x:row>
    <x:row r="256" ht="29" customHeight="1">
      <x:c r="A256" s="24" t="str">
        <x:v>全球</x:v>
      </x:c>
      <x:c r="B256" s="24" t="str">
        <x:v>concept</x:v>
      </x:c>
      <x:c r="C256" s="24" t="str">
        <x:v>泛化实体审计</x:v>
      </x:c>
      <x:c r="D256" s="24" t="str">
        <x:v>generic_exclusion</x:v>
      </x:c>
      <x:c r="E256" s="50" t="str">
        <x:v>泛化地区表达，排除实体Jaccard。</x:v>
      </x:c>
      <x:c r="F256" s="24" t="str">
        <x:v>["全球", "Global", "Worldwide", "全球范围"]</x:v>
      </x:c>
      <x:c r="G256" s="25" t="b">
        <x:v>1</x:v>
      </x:c>
      <x:c r="H256" s="24" t="str">
        <x:v>2026-10-01</x:v>
      </x:c>
      <x:c r="I256" s="28" t="str">
        <x:v>https://ca.marketscreener.com/news/us-slows-aircraft-part-exports-to-china-as-trump-seeks-leverage-in-trade-negotiations-sources-say-ce785ad3de89f421</x:v>
      </x:c>
      <x:c r="J256" s="24" t="str">
        <x:v>主题相关性；不证明逐实体出现</x:v>
      </x:c>
      <x:c r="K256" s="24" t="str">
        <x:v>—</x:v>
      </x:c>
    </x:row>
    <x:row r="257" ht="29" customHeight="1">
      <x:c r="A257" s="24" t="str">
        <x:v>市场</x:v>
      </x:c>
      <x:c r="B257" s="24" t="str">
        <x:v>concept</x:v>
      </x:c>
      <x:c r="C257" s="24" t="str">
        <x:v>泛化实体审计</x:v>
      </x:c>
      <x:c r="D257" s="24" t="str">
        <x:v>generic_exclusion</x:v>
      </x:c>
      <x:c r="E257" s="50" t="str">
        <x:v>过宽的抽象表达，排除实体Jaccard。</x:v>
      </x:c>
      <x:c r="F257" s="24" t="str">
        <x:v>["市场", "Market", "市场行情"]</x:v>
      </x:c>
      <x:c r="G257" s="25" t="b">
        <x:v>1</x:v>
      </x:c>
      <x:c r="H257" s="24" t="str">
        <x:v>2026-10-01</x:v>
      </x:c>
      <x:c r="I257" s="28" t="str">
        <x:v>https://ca.marketscreener.com/news/us-slows-aircraft-part-exports-to-china-as-trump-seeks-leverage-in-trade-negotiations-sources-say-ce785ad3de89f421</x:v>
      </x:c>
      <x:c r="J257" s="24" t="str">
        <x:v>主题相关性；不证明逐实体出现</x:v>
      </x:c>
      <x:c r="K257" s="24" t="str">
        <x:v>—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e333a754d2240d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4" hidden="0" customWidth="1"/>
    <x:col min="3" max="3" width="25" hidden="0" customWidth="1"/>
    <x:col min="4" max="4" width="40" hidden="0" customWidth="1"/>
    <x:col min="5" max="5" width="39" hidden="0" customWidth="1"/>
    <x:col min="6" max="6" width="45" hidden="0" customWidth="1"/>
  </x:cols>
  <x:sheetData>
    <x:row r="1" ht="41" customHeight="1">
      <x:c r="A1" s="4" t="str">
        <x:v>字段说明 · 与 app/models/entity.py 对齐</x:v>
      </x:c>
      <x:c r="B1" s="4"/>
      <x:c r="C1" s="4"/>
      <x:c r="D1" s="4"/>
      <x:c r="E1" s="4"/>
      <x:c r="F1" s="4"/>
    </x:row>
    <x:row r="2" ht="30" customHeight="1">
      <x:c r="A2" s="10" t="str">
        <x:v>11 字段严格映射（说明附于独立表，不参与 CSV 导入）</x:v>
      </x:c>
      <x:c r="B2" s="10"/>
      <x:c r="C2" s="10"/>
      <x:c r="D2" s="10"/>
      <x:c r="E2" s="10"/>
      <x:c r="F2" s="10"/>
    </x:row>
    <x:row r="3" ht="9" customHeight="1"/>
    <x:row r="5" ht="31" customHeight="1">
      <x:c r="A5" s="19" t="str">
        <x:v>字段</x:v>
      </x:c>
      <x:c r="B5" s="19" t="str">
        <x:v>数据库类型</x:v>
      </x:c>
      <x:c r="C5" s="19" t="str">
        <x:v>约束</x:v>
      </x:c>
      <x:c r="D5" s="19" t="str">
        <x:v>离线 CSV 表达</x:v>
      </x:c>
      <x:c r="E5" s="19" t="str">
        <x:v>导入策略</x:v>
      </x:c>
      <x:c r="F5" s="19" t="str">
        <x:v>备注</x:v>
      </x:c>
    </x:row>
    <x:row r="6" ht="37" customHeight="1">
      <x:c r="A6" s="34" t="str">
        <x:v>id</x:v>
      </x:c>
      <x:c r="B6" s="34" t="str">
        <x:v>UUID</x:v>
      </x:c>
      <x:c r="C6" s="34" t="str">
        <x:v>非空/主键</x:v>
      </x:c>
      <x:c r="D6" s="34" t="str">
        <x:v>本种子为规范名生成的稳定 UUIDv5</x:v>
      </x:c>
      <x:c r="E6" s="34" t="str">
        <x:v>新行使用，冲突行保留线上 id</x:v>
      </x:c>
      <x:c r="F6" s="34" t="str">
        <x:v>不能用名称变化直接重算旧 ID</x:v>
      </x:c>
    </x:row>
    <x:row r="7" ht="37" customHeight="1">
      <x:c r="A7" s="34" t="str">
        <x:v>canonical_name</x:v>
      </x:c>
      <x:c r="B7" s="34" t="str">
        <x:v>VARCHAR(128)</x:v>
      </x:c>
      <x:c r="C7" s="34" t="str">
        <x:v>非空/唯一</x:v>
      </x:c>
      <x:c r="D7" s="34" t="str">
        <x:v>归一化后的实体规范名</x:v>
      </x:c>
      <x:c r="E7" s="34" t="str">
        <x:v>UPSERT 冲突键</x:v>
      </x:c>
      <x:c r="F7" s="34" t="str">
        <x:v>与当前 _normalize 相容</x:v>
      </x:c>
    </x:row>
    <x:row r="8" ht="37" customHeight="1">
      <x:c r="A8" s="34" t="str">
        <x:v>entity_type</x:v>
      </x:c>
      <x:c r="B8" s="34" t="str">
        <x:v>VARCHAR(24)</x:v>
      </x:c>
      <x:c r="C8" s="34" t="str">
        <x:v>可空</x:v>
      </x:c>
      <x:c r="D8" s="34" t="str">
        <x:v>org / person / place / asset / commodity / concept</x:v>
      </x:c>
      <x:c r="E8" s="34" t="str">
        <x:v>仅补全数据库空值</x:v>
      </x:c>
      <x:c r="F8" s="34" t="str">
        <x:v>不据单篇新闻轻易改类型</x:v>
      </x:c>
    </x:row>
    <x:row r="9" ht="37" customHeight="1">
      <x:c r="A9" s="34" t="str">
        <x:v>aliases</x:v>
      </x:c>
      <x:c r="B9" s="34" t="str">
        <x:v>VARCHAR(128)[]</x:v>
      </x:c>
      <x:c r="C9" s="34" t="str">
        <x:v>可空</x:v>
      </x:c>
      <x:c r="D9" s="34" t="str">
        <x:v>PostgreSQL ARRAY 字面量 {"A","B"}</x:v>
      </x:c>
      <x:c r="E9" s="34" t="str">
        <x:v>合并已存在与种子别名</x:v>
      </x:c>
      <x:c r="F9" s="34" t="str">
        <x:v>运行时代码必须额外读取别名映射</x:v>
      </x:c>
    </x:row>
    <x:row r="10" ht="37" customHeight="1">
      <x:c r="A10" s="34" t="str">
        <x:v>embedding</x:v>
      </x:c>
      <x:c r="B10" s="34" t="str">
        <x:v>REAL[]</x:v>
      </x:c>
      <x:c r="C10" s="34" t="str">
        <x:v>可空</x:v>
      </x:c>
      <x:c r="D10" s="34" t="str">
        <x:v>空 / NULL</x:v>
      </x:c>
      <x:c r="E10" s="34" t="str">
        <x:v>保留线上向量</x:v>
      </x:c>
      <x:c r="F10" s="34" t="str">
        <x:v>模型不明时不得伪造向量</x:v>
      </x:c>
    </x:row>
    <x:row r="11" ht="37" customHeight="1">
      <x:c r="A11" s="34" t="str">
        <x:v>embedding_model</x:v>
      </x:c>
      <x:c r="B11" s="34" t="str">
        <x:v>VARCHAR(64)</x:v>
      </x:c>
      <x:c r="C11" s="34" t="str">
        <x:v>可空</x:v>
      </x:c>
      <x:c r="D11" s="34" t="str">
        <x:v>空 / NULL</x:v>
      </x:c>
      <x:c r="E11" s="34" t="str">
        <x:v>保留线上模型标签</x:v>
      </x:c>
      <x:c r="F11" s="34" t="str">
        <x:v>与 embedding 成对管理</x:v>
      </x:c>
    </x:row>
    <x:row r="12" ht="37" customHeight="1">
      <x:c r="A12" s="34" t="str">
        <x:v>mention_count</x:v>
      </x:c>
      <x:c r="B12" s="34" t="str">
        <x:v>INTEGER</x:v>
      </x:c>
      <x:c r="C12" s="34" t="str">
        <x:v>非空, 默认0</x:v>
      </x:c>
      <x:c r="D12" s="34" t="str">
        <x:v>0</x:v>
      </x:c>
      <x:c r="E12" s="34" t="str">
        <x:v>保留线上累计值</x:v>
      </x:c>
      <x:c r="F12" s="34" t="str">
        <x:v>来源新闻抽样不能当作系统提及统计</x:v>
      </x:c>
    </x:row>
    <x:row r="13" ht="37" customHeight="1">
      <x:c r="A13" s="34" t="str">
        <x:v>is_generic</x:v>
      </x:c>
      <x:c r="B13" s="34" t="str">
        <x:v>BOOLEAN</x:v>
      </x:c>
      <x:c r="C13" s="34" t="str">
        <x:v>非空, 默认false</x:v>
      </x:c>
      <x:c r="D13" s="34" t="str">
        <x:v>TRUE / FALSE</x:v>
      </x:c>
      <x:c r="E13" s="34" t="str">
        <x:v>线上已有行不覆盖</x:v>
      </x:c>
      <x:c r="F13" s="34" t="str">
        <x:v>美国中国等广泛实体排除 Jaccard</x:v>
      </x:c>
    </x:row>
    <x:row r="14" ht="37" customHeight="1">
      <x:c r="A14" s="34" t="str">
        <x:v>first_seen_at</x:v>
      </x:c>
      <x:c r="B14" s="34" t="str">
        <x:v>TIMESTAMPTZ</x:v>
      </x:c>
      <x:c r="C14" s="34" t="str">
        <x:v>可空</x:v>
      </x:c>
      <x:c r="D14" s="34" t="str">
        <x:v>空 / NULL</x:v>
      </x:c>
      <x:c r="E14" s="34" t="str">
        <x:v>保留线上首次观测</x:v>
      </x:c>
      <x:c r="F14" s="34" t="str">
        <x:v>禁止填事件/实体创立日期</x:v>
      </x:c>
    </x:row>
    <x:row r="15" ht="37" customHeight="1">
      <x:c r="A15" s="34" t="str">
        <x:v>last_seen_at</x:v>
      </x:c>
      <x:c r="B15" s="34" t="str">
        <x:v>TIMESTAMPTZ</x:v>
      </x:c>
      <x:c r="C15" s="34" t="str">
        <x:v>可空</x:v>
      </x:c>
      <x:c r="D15" s="34" t="str">
        <x:v>空 / NULL</x:v>
      </x:c>
      <x:c r="E15" s="34" t="str">
        <x:v>保留线上最后观测</x:v>
      </x:c>
      <x:c r="F15" s="34" t="str">
        <x:v>真实新闻提及后由 writer 更新</x:v>
      </x:c>
    </x:row>
    <x:row r="16" ht="37" customHeight="1">
      <x:c r="A16" s="34" t="str">
        <x:v>created_at</x:v>
      </x:c>
      <x:c r="B16" s="34" t="str">
        <x:v>TIMESTAMPTZ</x:v>
      </x:c>
      <x:c r="C16" s="34" t="str">
        <x:v>非空, 默认now()</x:v>
      </x:c>
      <x:c r="D16" s="34" t="str">
        <x:v>空 / NULL</x:v>
      </x:c>
      <x:c r="E16" s="34" t="str">
        <x:v>新行由 now() 写入，旧行保留</x:v>
      </x:c>
      <x:c r="F16" s="34" t="str">
        <x:v>数据库记录创建时间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6b52611f26140f4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86" hidden="0" customWidth="1"/>
    <x:col min="4" max="4" width="18" hidden="0" customWidth="1"/>
  </x:cols>
  <x:sheetData>
    <x:row r="1" ht="41" customHeight="1">
      <x:c r="A1" s="4" t="str">
        <x:v>新闻来源 · 2025.10—2026.10</x:v>
      </x:c>
      <x:c r="B1" s="4"/>
      <x:c r="C1" s="4"/>
      <x:c r="D1" s="4"/>
    </x:row>
    <x:row r="2" ht="30" customHeight="1">
      <x:c r="A2" s="10" t="str">
        <x:v>Reuters / AP 等公开报道。链接为主题研究依据，不保证相关实体逐一出现；请在上线前结合原报道复核。</x:v>
      </x:c>
      <x:c r="B2" s="10"/>
      <x:c r="C2" s="10"/>
      <x:c r="D2" s="10"/>
    </x:row>
    <x:row r="3" ht="9" customHeight="1"/>
    <x:row r="5" ht="31" customHeight="1">
      <x:c r="A5" s="19" t="str">
        <x:v>来源ID</x:v>
      </x:c>
      <x:c r="B5" s="19" t="str">
        <x:v>报道日期（按URL/检索）</x:v>
      </x:c>
      <x:c r="C5" s="19" t="str">
        <x:v>新闻主题参考链接</x:v>
      </x:c>
      <x:c r="D5" s="19" t="str">
        <x:v>覆盖主题数</x:v>
      </x:c>
    </x:row>
    <x:row r="6" ht="28" customHeight="1">
      <x:c r="A6" t="str">
        <x:v>DATA</x:v>
      </x:c>
      <x:c r="B6" t="str">
        <x:v>2026-10-13</x:v>
      </x:c>
      <x:c r="C6" t="str">
        <x:v>https://www.reuters.com/commentary/breakingviews/ai-caution-favours-old-school-data-centre-builder-2026-10-13/</x:v>
      </x:c>
      <x:c r="D6" t="n">
        <x:v>0</x:v>
      </x:c>
    </x:row>
    <x:row r="7" ht="28" customHeight="1">
      <x:c r="A7" t="str">
        <x:v>BOJ</x:v>
      </x:c>
      <x:c r="B7" t="str">
        <x:v>2026-10-13</x:v>
      </x:c>
      <x:c r="C7" t="str">
        <x:v>https://www.reuters.com/world/asia-pacific/japans-wholesale-inflation-remains-elevated-keeps-alive-boj-rate-hike-view-2026-10-13/</x:v>
      </x:c>
      <x:c r="D7" t="n">
        <x:v>0</x:v>
      </x:c>
    </x:row>
    <x:row r="8" ht="28" customHeight="1">
      <x:c r="A8" t="str">
        <x:v>SHIP</x:v>
      </x:c>
      <x:c r="B8" t="str">
        <x:v>2026-10-12</x:v>
      </x:c>
      <x:c r="C8" t="str">
        <x:v>https://www.reuters.com/business/energy/shipping-insurance-costs-energy-flows-surge-opec-non-opec-ministers-say-2026-10-12/</x:v>
      </x:c>
      <x:c r="D8" t="n">
        <x:v>12</x:v>
      </x:c>
    </x:row>
    <x:row r="9" ht="28" customHeight="1">
      <x:c r="A9" t="str">
        <x:v>UKR</x:v>
      </x:c>
      <x:c r="B9" t="str">
        <x:v>2026-10-12</x:v>
      </x:c>
      <x:c r="C9" t="str">
        <x:v>https://www.reuters.com/business/energy/ukraine-accuses-russia-violating-trumps-energy-ceasefire-eu-imposes-new-2026-10-12/</x:v>
      </x:c>
      <x:c r="D9" t="n">
        <x:v>12</x:v>
      </x:c>
    </x:row>
    <x:row r="10" ht="28" customHeight="1">
      <x:c r="A10" t="str">
        <x:v>NATO</x:v>
      </x:c>
      <x:c r="B10" t="str">
        <x:v>2026-10-12</x:v>
      </x:c>
      <x:c r="C10" t="str">
        <x:v>https://www.reuters.com/world/nato-general-sets-out-tough-military-response-any-foolish-russian-attack-2026-10-12/</x:v>
      </x:c>
      <x:c r="D10" t="n">
        <x:v>10</x:v>
      </x:c>
    </x:row>
    <x:row r="11" ht="28" customHeight="1">
      <x:c r="A11" t="str">
        <x:v>AI</x:v>
      </x:c>
      <x:c r="B11" t="str">
        <x:v>2026-10-12</x:v>
      </x:c>
      <x:c r="C11" t="str">
        <x:v>https://www.reuters.com/world/china/tsmc-expected-report-sixth-straight-quarter-record-profit-thanks-ai-boom-2026-10-12/</x:v>
      </x:c>
      <x:c r="D11" t="n">
        <x:v>12</x:v>
      </x:c>
    </x:row>
    <x:row r="12" ht="28" customHeight="1">
      <x:c r="A12" t="str">
        <x:v>MS</x:v>
      </x:c>
      <x:c r="B12" t="str">
        <x:v>2026-10-12</x:v>
      </x:c>
      <x:c r="C12" t="str">
        <x:v>https://www.reuters.com/business/microsoft-plans-huge-deployment-its-own-ai-chips-with-an-eye-saving-costs-2026-10-12/</x:v>
      </x:c>
      <x:c r="D12" t="n">
        <x:v>10</x:v>
      </x:c>
    </x:row>
    <x:row r="13" ht="28" customHeight="1">
      <x:c r="A13" t="str">
        <x:v>IND</x:v>
      </x:c>
      <x:c r="B13" t="str">
        <x:v>2026-10-12</x:v>
      </x:c>
      <x:c r="C13" t="str">
        <x:v>https://www.reuters.com/world/india/indias-september-retail-inflation-554-on-year-2026-10-12/</x:v>
      </x:c>
      <x:c r="D13" t="n">
        <x:v>6</x:v>
      </x:c>
    </x:row>
    <x:row r="14" ht="28" customHeight="1">
      <x:c r="A14" t="str">
        <x:v>COP2</x:v>
      </x:c>
      <x:c r="B14" t="str">
        <x:v>2026-10-12</x:v>
      </x:c>
      <x:c r="C14" t="str">
        <x:v>https://www.reuters.com/sustainability/cop/eu-eyes-cop31-climate-deal-accelerate-co2-cuts-document-shows-2026-10-12/</x:v>
      </x:c>
      <x:c r="D14" t="n">
        <x:v>0</x:v>
      </x:c>
    </x:row>
    <x:row r="15" ht="28" customHeight="1">
      <x:c r="A15" t="str">
        <x:v>WEATHER</x:v>
      </x:c>
      <x:c r="B15" t="str">
        <x:v>2026-10-12</x:v>
      </x:c>
      <x:c r="C15" t="str">
        <x:v>https://www.reuters.com/business/environment/hurricane-simon-crawls-along-mexicos-pacific-coast-bringing-floods-evacuations-2026-10-12/</x:v>
      </x:c>
      <x:c r="D15" t="n">
        <x:v>5</x:v>
      </x:c>
    </x:row>
    <x:row r="16" ht="28" customHeight="1">
      <x:c r="A16" t="str">
        <x:v>OIL</x:v>
      </x:c>
      <x:c r="B16" t="str">
        <x:v>2026-10-12</x:v>
      </x:c>
      <x:c r="C16" t="str">
        <x:v>https://www.reuters.com/business/energy/americas-have-glut-heavy-oil-due-freight-squeeze-asia-europe-scramble-barrels-2026-10-12/</x:v>
      </x:c>
      <x:c r="D16" t="n">
        <x:v>0</x:v>
      </x:c>
    </x:row>
    <x:row r="17" ht="28" customHeight="1">
      <x:c r="A17" t="str">
        <x:v>TAI</x:v>
      </x:c>
      <x:c r="B17" t="str">
        <x:v>2026-10-10</x:v>
      </x:c>
      <x:c r="C17" t="str">
        <x:v>https://www.reuters.com/world/china/us-says-chinese-actions-off-taiwan-are-deeply-destabilising-2026-10-10/</x:v>
      </x:c>
      <x:c r="D17" t="n">
        <x:v>10</x:v>
      </x:c>
    </x:row>
    <x:row r="18" ht="28" customHeight="1">
      <x:c r="A18" t="str">
        <x:v>EU</x:v>
      </x:c>
      <x:c r="B18" t="str">
        <x:v>2026-10-10</x:v>
      </x:c>
      <x:c r="C18" t="str">
        <x:v>https://apnews.com/article/54c9c71e85f92dc0003780fc53f0b250</x:v>
      </x:c>
      <x:c r="D18" t="n">
        <x:v>8</x:v>
      </x:c>
    </x:row>
    <x:row r="19" ht="28" customHeight="1">
      <x:c r="A19" t="str">
        <x:v>DRC</x:v>
      </x:c>
      <x:c r="B19" t="str">
        <x:v>2026-10-09</x:v>
      </x:c>
      <x:c r="C19" t="str">
        <x:v>https://www.reuters.com/world/africa/erik-princes-forces-suffer-battlefield-loss-congo-former-ufc-fighter-among-2026-10-09/</x:v>
      </x:c>
      <x:c r="D19" t="n">
        <x:v>10</x:v>
      </x:c>
    </x:row>
    <x:row r="20" ht="28" customHeight="1">
      <x:c r="A20" t="str">
        <x:v>YE</x:v>
      </x:c>
      <x:c r="B20" t="str">
        <x:v>2026-10-07</x:v>
      </x:c>
      <x:c r="C20" t="str">
        <x:v>https://www.reuters.com/world/middle-east/wars-explosive-new-front-2026-10-07/</x:v>
      </x:c>
      <x:c r="D20" t="n">
        <x:v>12</x:v>
      </x:c>
    </x:row>
    <x:row r="21" ht="28" customHeight="1">
      <x:c r="A21" t="str">
        <x:v>COP</x:v>
      </x:c>
      <x:c r="B21" t="str">
        <x:v>2026-10-07</x:v>
      </x:c>
      <x:c r="C21" t="str">
        <x:v>https://www.reuters.com/sustainability/cop/pacific-nations-insist-world-must-increase-efforts-meet-global-warming-limit-2026-10-07/</x:v>
      </x:c>
      <x:c r="D21" t="n">
        <x:v>10</x:v>
      </x:c>
    </x:row>
    <x:row r="22" ht="28" customHeight="1">
      <x:c r="A22" t="str">
        <x:v>SPIPE</x:v>
      </x:c>
      <x:c r="B22" t="str">
        <x:v>2026-10-06</x:v>
      </x:c>
      <x:c r="C22" t="str">
        <x:v>https://www.reuters.com/business/energy/saudi-energy-minister-says-oil-pumped-through-east-west-pipeline-reached-58-2026-10-06/</x:v>
      </x:c>
      <x:c r="D22" t="n">
        <x:v>8</x:v>
      </x:c>
    </x:row>
    <x:row r="23" ht="28" customHeight="1">
      <x:c r="A23" t="str">
        <x:v>GAZA</x:v>
      </x:c>
      <x:c r="B23" t="str">
        <x:v>2026-10-06</x:v>
      </x:c>
      <x:c r="C23" t="str">
        <x:v>https://www.reuters.com/world/middle-east/one-year-trumps-gaza-plan-has-not-stopped-israeli-fire-or-disarmed-hamas-2026-10-06/</x:v>
      </x:c>
      <x:c r="D23" t="n">
        <x:v>12</x:v>
      </x:c>
    </x:row>
    <x:row r="24" ht="28" customHeight="1">
      <x:c r="A24" t="str">
        <x:v>BRA</x:v>
      </x:c>
      <x:c r="B24" t="str">
        <x:v>2026-10-04</x:v>
      </x:c>
      <x:c r="C24" t="str">
        <x:v>https://www.reuters.com/world/americas/brazilians-head-polls-high-stakes-polarized-election-2026-10-04/</x:v>
      </x:c>
      <x:c r="D24" t="n">
        <x:v>6</x:v>
      </x:c>
    </x:row>
    <x:row r="25" ht="28" customHeight="1">
      <x:c r="A25" t="str">
        <x:v>MACRO</x:v>
      </x:c>
      <x:c r="B25" t="str">
        <x:v>2026-10-02</x:v>
      </x:c>
      <x:c r="C25" t="str">
        <x:v>https://www.reuters.com/business/take-five/global-markets-themes-graphic-2026-10-02/</x:v>
      </x:c>
      <x:c r="D25" t="n">
        <x:v>12</x:v>
      </x:c>
    </x:row>
    <x:row r="26" ht="28" customHeight="1">
      <x:c r="A26" t="str">
        <x:v>FOOD</x:v>
      </x:c>
      <x:c r="B26" t="str">
        <x:v>2026-10-02</x:v>
      </x:c>
      <x:c r="C26" t="str">
        <x:v>https://www.reuters.com/markets/us/world-food-prices-near-four-year-high-september-un-says-2026-10-02/</x:v>
      </x:c>
      <x:c r="D26" t="n">
        <x:v>8</x:v>
      </x:c>
    </x:row>
    <x:row r="27" ht="28" customHeight="1">
      <x:c r="A27" t="str">
        <x:v>PHI</x:v>
      </x:c>
      <x:c r="B27" t="str">
        <x:v>2026-10-01</x:v>
      </x:c>
      <x:c r="C27" t="str">
        <x:v>https://www.reuters.com/world/china/philippines-sends-largest-ship-aircraft-drive-away-chinese-vessel-waters-near-2026-10-01/</x:v>
      </x:c>
      <x:c r="D27" t="n">
        <x:v>6</x:v>
      </x:c>
    </x:row>
    <x:row r="28" ht="28" customHeight="1">
      <x:c r="A28" t="str">
        <x:v>TRADE</x:v>
      </x:c>
      <x:c r="B28" t="str">
        <x:v>2026-10-01</x:v>
      </x:c>
      <x:c r="C28" t="str">
        <x:v>https://ca.marketscreener.com/news/us-slows-aircraft-part-exports-to-china-as-trump-seeks-leverage-in-trade-negotiations-sources-say-ce785ad3de89f421</x:v>
      </x:c>
      <x:c r="D28" t="n">
        <x:v>18</x:v>
      </x:c>
    </x:row>
    <x:row r="29" ht="28" customHeight="1">
      <x:c r="A29" t="str">
        <x:v>SUDF</x:v>
      </x:c>
      <x:c r="B29" t="str">
        <x:v>2026-09-25</x:v>
      </x:c>
      <x:c r="C29" t="str">
        <x:v>https://www.reuters.com/world/africa/number-sudanese-fleeing-chad-surges-20-fold-aid-runs-dry-un-says-2026-09-25/</x:v>
      </x:c>
      <x:c r="D29" t="n">
        <x:v>0</x:v>
      </x:c>
    </x:row>
    <x:row r="30" ht="28" customHeight="1">
      <x:c r="A30" t="str">
        <x:v>AFG</x:v>
      </x:c>
      <x:c r="B30" t="str">
        <x:v>2026-09-25</x:v>
      </x:c>
      <x:c r="C30" t="str">
        <x:v>https://www.internazionale.it/ultime-notizie-reuters/2026/09/25/explainer-what-has-turned-the-afghan-taliban-and-pakistan-from-partners-to-foes</x:v>
      </x:c>
      <x:c r="D30" t="n">
        <x:v>6</x:v>
      </x:c>
    </x:row>
    <x:row r="31" ht="28" customHeight="1">
      <x:c r="A31" t="str">
        <x:v>YT</x:v>
      </x:c>
      <x:c r="B31" t="str">
        <x:v>2026-09-24</x:v>
      </x:c>
      <x:c r="C31" t="str">
        <x:v>https://www.reuters.com/world/china/us-japanese-officials-discussed-chinas-yttrium-curbs-ahead-trump-xi-meeting-2026-09-24/</x:v>
      </x:c>
      <x:c r="D31" t="n">
        <x:v>0</x:v>
      </x:c>
    </x:row>
    <x:row r="32" ht="28" customHeight="1">
      <x:c r="A32" t="str">
        <x:v>SUD</x:v>
      </x:c>
      <x:c r="B32" t="str">
        <x:v>2026-09-22</x:v>
      </x:c>
      <x:c r="C32" t="str">
        <x:v>https://www.reuters.com/world/africa/currency-collapse-heaps-more-pain-civilians-divided-sudan-2026-09-22/</x:v>
      </x:c>
      <x:c r="D32" t="n">
        <x:v>10</x:v>
      </x:c>
    </x:row>
    <x:row r="33" ht="28" customHeight="1">
      <x:c r="A33" t="str">
        <x:v>VEN</x:v>
      </x:c>
      <x:c r="B33" t="str">
        <x:v>2026-09-21</x:v>
      </x:c>
      <x:c r="C33" t="str">
        <x:v>https://www.reuters.com/world/americas/venezuelan-delegation-led-by-rodriguez-discuss-debt-energy-us-sources-say-2026-09-21/</x:v>
      </x:c>
      <x:c r="D33" t="n">
        <x:v>8</x:v>
      </x:c>
    </x:row>
    <x:row r="34" ht="28" customHeight="1">
      <x:c r="A34" t="str">
        <x:v>REE</x:v>
      </x:c>
      <x:c r="B34" t="str">
        <x:v>2026-09-14</x:v>
      </x:c>
      <x:c r="C34" t="str">
        <x:v>https://www.reuters.com/business/energy/us-invests-critical-minerals-china-maintains-grip--reeii-2026-09-14/</x:v>
      </x:c>
      <x:c r="D34" t="n">
        <x:v>14</x:v>
      </x:c>
    </x:row>
    <x:row r="35" ht="28" customHeight="1">
      <x:c r="A35" t="str">
        <x:v>GINS</x:v>
      </x:c>
      <x:c r="B35" t="str">
        <x:v>2026-09-09</x:v>
      </x:c>
      <x:c r="C35" t="str">
        <x:v>https://www.reuters.com/world/middle-east/oil-vessel-transit-costs-through-hormuz-escalated-after-iran-war-enoc-exec-says-2026-09-09/</x:v>
      </x:c>
      <x:c r="D35" t="n">
        <x:v>0</x:v>
      </x:c>
    </x:row>
    <x:row r="36" ht="28" customHeight="1">
      <x:c r="A36" t="str">
        <x:v>LEB</x:v>
      </x:c>
      <x:c r="B36" t="str">
        <x:v>2026-08-13</x:v>
      </x:c>
      <x:c r="C36" t="str">
        <x:v>https://www.reuters.com/world/middle-east/after-us-criticism-israel-ties-lebanon-withdrawal-hezbollah-disarmament-2026-08-13/</x:v>
      </x:c>
      <x:c r="D36" t="n">
        <x:v>7</x:v>
      </x:c>
    </x:row>
    <x:row r="37" ht="28" customHeight="1">
      <x:c r="A37" t="str">
        <x:v>GULF</x:v>
      </x:c>
      <x:c r="B37" t="str">
        <x:v>2026-04-05</x:v>
      </x:c>
      <x:c r="C37" t="str">
        <x:v>https://www.reuters.com/business/energy/opec-debates-theoretical-oil-output-hike-amid-iran-war-paralysis-sources-say-2026-04-05/</x:v>
      </x:c>
      <x:c r="D37" t="n">
        <x:v>12</x:v>
      </x:c>
    </x:row>
    <x:row r="38" ht="28" customHeight="1">
      <x:c r="A38" t="str">
        <x:v>AGI</x:v>
      </x:c>
      <x:c r="B38" t="str">
        <x:v>2025-10-30</x:v>
      </x:c>
      <x:c r="C38" t="str">
        <x:v>https://www.reuters.com/technology/openai-oracle-related-digital-announce-new-stargate-data-center-michigan-2025-10-30/</x:v>
      </x:c>
      <x:c r="D38" t="n">
        <x:v>8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38a67b5a0d34edb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32" hidden="0" customWidth="1"/>
    <x:col min="3" max="3" width="17" hidden="0" customWidth="1"/>
    <x:col min="4" max="4" width="18" hidden="0" customWidth="1"/>
    <x:col min="5" max="5" width="58" hidden="0" customWidth="1"/>
  </x:cols>
  <x:sheetData>
    <x:row r="1" ht="41" customHeight="1">
      <x:c r="A1" s="4" t="str">
        <x:v>27 个新闻主题 · 实体分布</x:v>
      </x:c>
      <x:c r="B1" s="4"/>
      <x:c r="C1" s="4"/>
      <x:c r="D1" s="4"/>
      <x:c r="E1" s="4"/>
    </x:row>
    <x:row r="2" ht="30" customHeight="1">
      <x:c r="A2" s="10" t="str">
        <x:v>相同实体唯一入库，每条记录指定一个主要研究主题；机制标签用于后续分线候选</x:v>
      </x:c>
      <x:c r="B2" s="10"/>
      <x:c r="C2" s="10"/>
      <x:c r="D2" s="10"/>
      <x:c r="E2" s="10"/>
    </x:row>
    <x:row r="3" ht="9" customHeight="1"/>
    <x:row r="5" ht="31" customHeight="1">
      <x:c r="A5" s="19" t="str">
        <x:v>新闻主题</x:v>
      </x:c>
      <x:c r="B5" s="19" t="str">
        <x:v>传导机制</x:v>
      </x:c>
      <x:c r="C5" s="19" t="str">
        <x:v>实体数量</x:v>
      </x:c>
      <x:c r="D5" s="19" t="str">
        <x:v>新闻日期</x:v>
      </x:c>
      <x:c r="E5" s="19" t="str">
        <x:v>新闻主题来源URL</x:v>
      </x:c>
    </x:row>
    <x:row r="6" ht="28" customHeight="1">
      <x:c r="A6" t="str">
        <x:v>AI芯片及先进封装</x:v>
      </x:c>
      <x:c r="B6" t="str">
        <x:v>semiconductor_capacity</x:v>
      </x:c>
      <x:c r="C6" t="n">
        <x:f>COUNTIF('研究说明'!C6:C257,A6)</x:f>
        <x:v>12</x:v>
      </x:c>
      <x:c r="D6" t="str">
        <x:v>2026-10-12</x:v>
      </x:c>
      <x:c r="E6" t="str">
        <x:v>https://www.reuters.com/world/china/tsmc-expected-report-sixth-straight-quarter-record-profit-thanks-ai-boom-2026-10-12/</x:v>
      </x:c>
    </x:row>
    <x:row r="7" ht="28" customHeight="1">
      <x:c r="A7" t="str">
        <x:v>AI资本开支与算力基础设施</x:v>
      </x:c>
      <x:c r="B7" t="str">
        <x:v>ai_capex_energy</x:v>
      </x:c>
      <x:c r="C7" t="n">
        <x:f>COUNTIF('研究说明'!C7:C258,A7)</x:f>
        <x:v>10</x:v>
      </x:c>
      <x:c r="D7" t="str">
        <x:v>2026-10-12</x:v>
      </x:c>
      <x:c r="E7" t="str">
        <x:v>https://www.reuters.com/business/microsoft-plans-huge-deployment-its-own-ai-chips-with-an-eye-saving-costs-2026-10-12/</x:v>
      </x:c>
    </x:row>
    <x:row r="8" ht="28" customHeight="1">
      <x:c r="A8" t="str">
        <x:v>AI项目及数据中心融资</x:v>
      </x:c>
      <x:c r="B8" t="str">
        <x:v>datacenter_financing</x:v>
      </x:c>
      <x:c r="C8" t="n">
        <x:f>COUNTIF('研究说明'!C8:C259,A8)</x:f>
        <x:v>8</x:v>
      </x:c>
      <x:c r="D8" t="str">
        <x:v>2025-10-30</x:v>
      </x:c>
      <x:c r="E8" t="str">
        <x:v>https://www.reuters.com/technology/openai-oracle-related-digital-announce-new-stargate-data-center-michigan-2025-10-30/</x:v>
      </x:c>
    </x:row>
    <x:row r="9" ht="28" customHeight="1">
      <x:c r="A9" t="str">
        <x:v>COP31与气候资金</x:v>
      </x:c>
      <x:c r="B9" t="str">
        <x:v>climate_finance_electrification</x:v>
      </x:c>
      <x:c r="C9" t="n">
        <x:f>COUNTIF('研究说明'!C9:C260,A9)</x:f>
        <x:v>10</x:v>
      </x:c>
      <x:c r="D9" t="str">
        <x:v>2026-10-07</x:v>
      </x:c>
      <x:c r="E9" t="str">
        <x:v>https://www.reuters.com/sustainability/cop/pacific-nations-insist-world-must-increase-efforts-meet-global-warming-limit-2026-10-07/</x:v>
      </x:c>
    </x:row>
    <x:row r="10" ht="28" customHeight="1">
      <x:c r="A10" t="str">
        <x:v>中美欧贸易与出口管制</x:v>
      </x:c>
      <x:c r="B10" t="str">
        <x:v>tariff_export_controls</x:v>
      </x:c>
      <x:c r="C10" t="n">
        <x:f>COUNTIF('研究说明'!C10:C261,A10)</x:f>
        <x:v>12</x:v>
      </x:c>
      <x:c r="D10" t="str">
        <x:v>2026-10-01</x:v>
      </x:c>
      <x:c r="E10" t="str">
        <x:v>https://ca.marketscreener.com/news/us-slows-aircraft-part-exports-to-china-as-trump-seeks-leverage-in-trade-negotiations-sources-say-ce785ad3de89f421</x:v>
      </x:c>
    </x:row>
    <x:row r="11" ht="28" customHeight="1">
      <x:c r="A11" t="str">
        <x:v>也门与红海军事</x:v>
      </x:c>
      <x:c r="B11" t="str">
        <x:v>military_control</x:v>
      </x:c>
      <x:c r="C11" t="n">
        <x:f>COUNTIF('研究说明'!C11:C262,A11)</x:f>
        <x:v>7</x:v>
      </x:c>
      <x:c r="D11" t="str">
        <x:v>2026-10-07</x:v>
      </x:c>
      <x:c r="E11" t="str">
        <x:v>https://www.reuters.com/world/middle-east/wars-explosive-new-front-2026-10-07/</x:v>
      </x:c>
    </x:row>
    <x:row r="12" ht="28" customHeight="1">
      <x:c r="A12" t="str">
        <x:v>亚洲通胀与国内货币政策</x:v>
      </x:c>
      <x:c r="B12" t="str">
        <x:v>inflation_pass_through</x:v>
      </x:c>
      <x:c r="C12" t="n">
        <x:f>COUNTIF('研究说明'!C12:C263,A12)</x:f>
        <x:v>6</x:v>
      </x:c>
      <x:c r="D12" t="str">
        <x:v>2026-10-12</x:v>
      </x:c>
      <x:c r="E12" t="str">
        <x:v>https://www.reuters.com/world/india/indias-september-retail-inflation-554-on-year-2026-10-12/</x:v>
      </x:c>
    </x:row>
    <x:row r="13" ht="28" customHeight="1">
      <x:c r="A13" t="str">
        <x:v>俄乌军事与能源设施</x:v>
      </x:c>
      <x:c r="B13" t="str">
        <x:v>war_energy_infrastructure</x:v>
      </x:c>
      <x:c r="C13" t="n">
        <x:f>COUNTIF('研究说明'!C13:C264,A13)</x:f>
        <x:v>12</x:v>
      </x:c>
      <x:c r="D13" t="str">
        <x:v>2026-10-12</x:v>
      </x:c>
      <x:c r="E13" t="str">
        <x:v>https://www.reuters.com/business/energy/ukraine-accuses-russia-violating-trumps-energy-ceasefire-eu-imposes-new-2026-10-12/</x:v>
      </x:c>
    </x:row>
    <x:row r="14" ht="28" customHeight="1">
      <x:c r="A14" t="str">
        <x:v>全球央行、汇率与债券</x:v>
      </x:c>
      <x:c r="B14" t="str">
        <x:v>monetary_policy_yields</x:v>
      </x:c>
      <x:c r="C14" t="n">
        <x:f>COUNTIF('研究说明'!C14:C265,A14)</x:f>
        <x:v>12</x:v>
      </x:c>
      <x:c r="D14" t="str">
        <x:v>2026-10-02</x:v>
      </x:c>
      <x:c r="E14" t="str">
        <x:v>https://www.reuters.com/business/take-five/global-markets-themes-graphic-2026-10-02/</x:v>
      </x:c>
    </x:row>
    <x:row r="15" ht="28" customHeight="1">
      <x:c r="A15" t="str">
        <x:v>刚果东部冲突与矿产</x:v>
      </x:c>
      <x:c r="B15" t="str">
        <x:v>conflict_minerals</x:v>
      </x:c>
      <x:c r="C15" t="n">
        <x:f>COUNTIF('研究说明'!C15:C266,A15)</x:f>
        <x:v>10</x:v>
      </x:c>
      <x:c r="D15" t="str">
        <x:v>2026-10-09</x:v>
      </x:c>
      <x:c r="E15" t="str">
        <x:v>https://www.reuters.com/world/africa/erik-princes-forces-suffer-battlefield-loss-congo-former-ufc-fighter-among-2026-10-09/</x:v>
      </x:c>
    </x:row>
    <x:row r="16" ht="28" customHeight="1">
      <x:c r="A16" t="str">
        <x:v>加沙停火与治理</x:v>
      </x:c>
      <x:c r="B16" t="str">
        <x:v>ceasefire_governance</x:v>
      </x:c>
      <x:c r="C16" t="n">
        <x:f>COUNTIF('研究说明'!C16:C267,A16)</x:f>
        <x:v>12</x:v>
      </x:c>
      <x:c r="D16" t="str">
        <x:v>2026-10-06</x:v>
      </x:c>
      <x:c r="E16" t="str">
        <x:v>https://www.reuters.com/world/middle-east/one-year-trumps-gaza-plan-has-not-stopped-israeli-fire-or-disarmed-hamas-2026-10-06/</x:v>
      </x:c>
    </x:row>
    <x:row r="17" ht="28" customHeight="1">
      <x:c r="A17" t="str">
        <x:v>南亚边境与地区安全</x:v>
      </x:c>
      <x:c r="B17" t="str">
        <x:v>border_insurgency</x:v>
      </x:c>
      <x:c r="C17" t="n">
        <x:f>COUNTIF('研究说明'!C17:C268,A17)</x:f>
        <x:v>6</x:v>
      </x:c>
      <x:c r="D17" t="str">
        <x:v>2026-09-25</x:v>
      </x:c>
      <x:c r="E17" t="str">
        <x:v>https://www.internazionale.it/ultime-notizie-reuters/2026/09/25/explainer-what-has-turned-the-afghan-taliban-and-pakistan-from-partners-to-foes</x:v>
      </x:c>
    </x:row>
    <x:row r="18" ht="28" customHeight="1">
      <x:c r="A18" t="str">
        <x:v>南海与菲律宾海上摩擦</x:v>
      </x:c>
      <x:c r="B18" t="str">
        <x:v>maritime_dispute</x:v>
      </x:c>
      <x:c r="C18" t="n">
        <x:f>COUNTIF('研究说明'!C18:C269,A18)</x:f>
        <x:v>6</x:v>
      </x:c>
      <x:c r="D18" t="str">
        <x:v>2026-10-01</x:v>
      </x:c>
      <x:c r="E18" t="str">
        <x:v>https://www.reuters.com/world/china/philippines-sends-largest-ship-aircraft-drive-away-chinese-vessel-waters-near-2026-10-01/</x:v>
      </x:c>
    </x:row>
    <x:row r="19" ht="28" customHeight="1">
      <x:c r="A19" t="str">
        <x:v>台海与印太海权</x:v>
      </x:c>
      <x:c r="B19" t="str">
        <x:v>maritime_deterrence</x:v>
      </x:c>
      <x:c r="C19" t="n">
        <x:f>COUNTIF('研究说明'!C19:C270,A19)</x:f>
        <x:v>10</x:v>
      </x:c>
      <x:c r="D19" t="str">
        <x:v>2026-10-10</x:v>
      </x:c>
      <x:c r="E19" t="str">
        <x:v>https://www.reuters.com/world/china/us-says-chinese-actions-off-taiwan-are-deeply-destabilising-2026-10-10/</x:v>
      </x:c>
    </x:row>
    <x:row r="20" ht="28" customHeight="1">
      <x:c r="A20" t="str">
        <x:v>委内瑞拉债务与石油重组</x:v>
      </x:c>
      <x:c r="B20" t="str">
        <x:v>sovereign_debt_energy</x:v>
      </x:c>
      <x:c r="C20" t="n">
        <x:f>COUNTIF('研究说明'!C20:C271,A20)</x:f>
        <x:v>8</x:v>
      </x:c>
      <x:c r="D20" t="str">
        <x:v>2026-09-21</x:v>
      </x:c>
      <x:c r="E20" t="str">
        <x:v>https://www.reuters.com/world/americas/venezuelan-delegation-led-by-rodriguez-discuss-debt-energy-us-sources-say-2026-09-21/</x:v>
      </x:c>
    </x:row>
    <x:row r="21" ht="28" customHeight="1">
      <x:c r="A21" t="str">
        <x:v>拉丁美洲选举与能源债务</x:v>
      </x:c>
      <x:c r="B21" t="str">
        <x:v>elections_fiscal_debt</x:v>
      </x:c>
      <x:c r="C21" t="n">
        <x:f>COUNTIF('研究说明'!C21:C272,A21)</x:f>
        <x:v>6</x:v>
      </x:c>
      <x:c r="D21" t="str">
        <x:v>2026-10-04</x:v>
      </x:c>
      <x:c r="E21" t="str">
        <x:v>https://www.reuters.com/world/americas/brazilians-head-polls-high-stakes-polarized-election-2026-10-04/</x:v>
      </x:c>
    </x:row>
    <x:row r="22" ht="28" customHeight="1">
      <x:c r="A22" t="str">
        <x:v>极端天气与保险损失</x:v>
      </x:c>
      <x:c r="B22" t="str">
        <x:v>catastrophe_insurance</x:v>
      </x:c>
      <x:c r="C22" t="n">
        <x:f>COUNTIF('研究说明'!C22:C273,A22)</x:f>
        <x:v>5</x:v>
      </x:c>
      <x:c r="D22" t="str">
        <x:v>2026-10-12</x:v>
      </x:c>
      <x:c r="E22" t="str">
        <x:v>https://www.reuters.com/business/environment/hurricane-simon-crawls-along-mexicos-pacific-coast-bringing-floods-evacuations-2026-10-12/</x:v>
      </x:c>
    </x:row>
    <x:row r="23" ht="28" customHeight="1">
      <x:c r="A23" t="str">
        <x:v>欧洲安全与制裁</x:v>
      </x:c>
      <x:c r="B23" t="str">
        <x:v>alliance_sanctions</x:v>
      </x:c>
      <x:c r="C23" t="n">
        <x:f>COUNTIF('研究说明'!C23:C274,A23)</x:f>
        <x:v>10</x:v>
      </x:c>
      <x:c r="D23" t="str">
        <x:v>2026-10-12</x:v>
      </x:c>
      <x:c r="E23" t="str">
        <x:v>https://www.reuters.com/world/nato-general-sets-out-tough-military-response-any-foolish-russian-attack-2026-10-12/</x:v>
      </x:c>
    </x:row>
    <x:row r="24" ht="28" customHeight="1">
      <x:c r="A24" t="str">
        <x:v>欧盟与中国汽车贸易</x:v>
      </x:c>
      <x:c r="B24" t="str">
        <x:v>trade_remedies</x:v>
      </x:c>
      <x:c r="C24" t="n">
        <x:f>COUNTIF('研究说明'!C24:C275,A24)</x:f>
        <x:v>8</x:v>
      </x:c>
      <x:c r="D24" t="str">
        <x:v>2026-10-10</x:v>
      </x:c>
      <x:c r="E24" t="str">
        <x:v>https://apnews.com/article/54c9c71e85f92dc0003780fc53f0b250</x:v>
      </x:c>
    </x:row>
    <x:row r="25" ht="28" customHeight="1">
      <x:c r="A25" t="str">
        <x:v>泛化实体审计</x:v>
      </x:c>
      <x:c r="B25" t="str">
        <x:v>generic_exclusion</x:v>
      </x:c>
      <x:c r="C25" t="n">
        <x:f>COUNTIF('研究说明'!C25:C276,A25)</x:f>
        <x:v>6</x:v>
      </x:c>
      <x:c r="D25" t="str">
        <x:v>2026-10-01</x:v>
      </x:c>
      <x:c r="E25" t="str">
        <x:v>https://ca.marketscreener.com/news/us-slows-aircraft-part-exports-to-china-as-trump-seeks-leverage-in-trade-negotiations-sources-say-ce785ad3de89f421</x:v>
      </x:c>
    </x:row>
    <x:row r="26" ht="28" customHeight="1">
      <x:c r="A26" t="str">
        <x:v>波斯湾能源安全</x:v>
      </x:c>
      <x:c r="B26" t="str">
        <x:v>energy_supply_chokepoint</x:v>
      </x:c>
      <x:c r="C26" t="n">
        <x:f>COUNTIF('研究说明'!C26:C277,A26)</x:f>
        <x:v>12</x:v>
      </x:c>
      <x:c r="D26" t="str">
        <x:v>2026-04-05</x:v>
      </x:c>
      <x:c r="E26" t="str">
        <x:v>https://www.reuters.com/business/energy/opec-debates-theoretical-oil-output-hike-amid-iran-war-paralysis-sources-say-2026-04-05/</x:v>
      </x:c>
    </x:row>
    <x:row r="27" ht="28" customHeight="1">
      <x:c r="A27" t="str">
        <x:v>稀土与关键矿产</x:v>
      </x:c>
      <x:c r="B27" t="str">
        <x:v>critical_minerals_supply</x:v>
      </x:c>
      <x:c r="C27" t="n">
        <x:f>COUNTIF('研究说明'!C27:C278,A27)</x:f>
        <x:v>14</x:v>
      </x:c>
      <x:c r="D27" t="str">
        <x:v>2026-09-14</x:v>
      </x:c>
      <x:c r="E27" t="str">
        <x:v>https://www.reuters.com/business/energy/us-invests-critical-minerals-china-maintains-grip--reeii-2026-09-14/</x:v>
      </x:c>
    </x:row>
    <x:row r="28" ht="28" customHeight="1">
      <x:c r="A28" t="str">
        <x:v>粮食气候与价格冲击</x:v>
      </x:c>
      <x:c r="B28" t="str">
        <x:v>food_weather_supply</x:v>
      </x:c>
      <x:c r="C28" t="n">
        <x:f>COUNTIF('研究说明'!C28:C279,A28)</x:f>
        <x:v>8</x:v>
      </x:c>
      <x:c r="D28" t="str">
        <x:v>2026-10-02</x:v>
      </x:c>
      <x:c r="E28" t="str">
        <x:v>https://www.reuters.com/markets/us/world-food-prices-near-four-year-high-september-un-says-2026-10-02/</x:v>
      </x:c>
    </x:row>
    <x:row r="29" ht="28" customHeight="1">
      <x:c r="A29" t="str">
        <x:v>能源外运替代路径</x:v>
      </x:c>
      <x:c r="B29" t="str">
        <x:v>pipeline_diversion</x:v>
      </x:c>
      <x:c r="C29" t="n">
        <x:f>COUNTIF('研究说明'!C29:C280,A29)</x:f>
        <x:v>8</x:v>
      </x:c>
      <x:c r="D29" t="str">
        <x:v>2026-10-06</x:v>
      </x:c>
      <x:c r="E29" t="str">
        <x:v>https://www.reuters.com/business/energy/saudi-energy-minister-says-oil-pumped-through-east-west-pipeline-reached-58-2026-10-06/</x:v>
      </x:c>
    </x:row>
    <x:row r="30" ht="28" customHeight="1">
      <x:c r="A30" t="str">
        <x:v>航运中断与风险溢价</x:v>
      </x:c>
      <x:c r="B30" t="str">
        <x:v>shipping_disruption</x:v>
      </x:c>
      <x:c r="C30" t="n">
        <x:f>COUNTIF('研究说明'!C30:C281,A30)</x:f>
        <x:v>0</x:v>
      </x:c>
      <x:c r="D30" t="str">
        <x:v>2026-10-12</x:v>
      </x:c>
      <x:c r="E30" t="str">
        <x:v>https://www.reuters.com/business/energy/shipping-insurance-costs-energy-flows-surge-opec-non-opec-ministers-say-2026-10-12/</x:v>
      </x:c>
    </x:row>
    <x:row r="31" ht="28" customHeight="1">
      <x:c r="A31" t="str">
        <x:v>苏丹内战与粮食金融</x:v>
      </x:c>
      <x:c r="B31" t="str">
        <x:v>conflict_fiscal_split</x:v>
      </x:c>
      <x:c r="C31" t="n">
        <x:f>COUNTIF('研究说明'!C31:C282,A31)</x:f>
        <x:v>10</x:v>
      </x:c>
      <x:c r="D31" t="str">
        <x:v>2026-09-22</x:v>
      </x:c>
      <x:c r="E31" t="str">
        <x:v>https://www.reuters.com/world/africa/currency-collapse-heaps-more-pain-civilians-divided-sudan-2026-09-22/</x:v>
      </x:c>
    </x:row>
    <x:row r="32" ht="28" customHeight="1">
      <x:c r="A32" t="str">
        <x:v>黎以边境安全</x:v>
      </x:c>
      <x:c r="B32" t="str">
        <x:v>border_disarmament</x:v>
      </x:c>
      <x:c r="C32" t="n">
        <x:f>COUNTIF('研究说明'!C32:C283,A32)</x:f>
        <x:v>7</x:v>
      </x:c>
      <x:c r="D32" t="str">
        <x:v>2026-08-13</x:v>
      </x:c>
      <x:c r="E32" t="str">
        <x:v>https://www.reuters.com/world/middle-east/after-us-criticism-israel-ties-lebanon-withdrawal-hezbollah-disarmament-2026-08-13/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6cd085064164eaa"/>
  </x:tableParts>
</x:worksheet>
</file>